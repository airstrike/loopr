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macrosheets/sheet1.xml" ContentType="application/vnd.ms-excel.macro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H:\"/>
    </mc:Choice>
  </mc:AlternateContent>
  <bookViews>
    <workbookView xWindow="0" yWindow="0" windowWidth="28800" windowHeight="12360" activeTab="4"/>
  </bookViews>
  <sheets>
    <sheet name="Control" sheetId="5" r:id="rId1"/>
    <sheet name="DCF" sheetId="7" r:id="rId2"/>
    <sheet name="DCF2" sheetId="57" r:id="rId3"/>
    <sheet name="LBO" sheetId="54" r:id="rId4"/>
    <sheet name="WACC2" sheetId="56" r:id="rId5"/>
    <sheet name="Acc-Dil" sheetId="55" r:id="rId6"/>
    <sheet name="WACC1" sheetId="6" r:id="rId7"/>
    <sheet name="XLM" sheetId="4" r:id="rId8"/>
  </sheets>
  <definedNames>
    <definedName name="Amount" localSheetId="7">DCF!$I$9:$I$11</definedName>
    <definedName name="AsOf">Control!$C$4</definedName>
    <definedName name="Beta" localSheetId="7">WACC1!$H$21</definedName>
    <definedName name="CIQWBGuid" hidden="1">"7737c9eb-55ab-4f82-949c-f8c2b6aec01c"</definedName>
    <definedName name="Circ">Control!$C$3</definedName>
    <definedName name="Debt" localSheetId="7">WACC1!$F$21</definedName>
    <definedName name="DSO">DCF!$E$6</definedName>
    <definedName name="EBITDA" localSheetId="7">DCF!$J$39</definedName>
    <definedName name="Equity" localSheetId="7">WACC1!$G$21</definedName>
    <definedName name="FCF" localSheetId="7">DCF!$J$50</definedName>
    <definedName name="Flag" localSheetId="7">DCF!$D$27</definedName>
    <definedName name="g" localSheetId="7">DCF!$H$26</definedName>
    <definedName name="ImpliedMultiple" function="1" xlm="1">XLM!$E$1</definedName>
    <definedName name="ImpliedPGR" function="1" xlm="1">XLM!$D$1</definedName>
    <definedName name="IQ_ADDIN" hidden="1">"AUTO"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42827.3813078704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  <definedName name="LeveredBeta" function="1" xlm="1">XLM!$B$1</definedName>
    <definedName name="LIBOR">LBO!$D$10</definedName>
    <definedName name="Multiple" localSheetId="7">DCF!$H$25</definedName>
    <definedName name="Price" localSheetId="7">DCF!$H$72</definedName>
    <definedName name="Price">DCF!$E$5</definedName>
    <definedName name="Strike" localSheetId="7">DCF!$H$9:$H$11</definedName>
    <definedName name="Tax" localSheetId="3">LBO!$D$11</definedName>
    <definedName name="Tax" localSheetId="4">WACC2!$C$14</definedName>
    <definedName name="Tax" localSheetId="7">WACC1!$D$8</definedName>
    <definedName name="Tax">WACC1!$D$8</definedName>
    <definedName name="TSM" comment="Syntatic sugar for the Treasury Stock Method" function="1" xlm="1">XLM!$A$1</definedName>
    <definedName name="UnleveredBeta" function="1" xlm="1">XLM!$C$1</definedName>
    <definedName name="WACC" localSheetId="2">'DCF2'!$I$3</definedName>
    <definedName name="WACC" localSheetId="7">WACC1!$H$12</definedName>
    <definedName name="WACC">WACC1!$H$12</definedName>
  </definedNames>
  <calcPr calcId="162913" calcMode="autoNoTable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1" i="7" l="1"/>
  <c r="D31" i="7" s="1"/>
  <c r="D8" i="57" s="1"/>
  <c r="F68" i="7"/>
  <c r="D68" i="7"/>
  <c r="H68" i="7" s="1"/>
  <c r="D67" i="7"/>
  <c r="H67" i="7" s="1"/>
  <c r="F67" i="7"/>
  <c r="H74" i="7"/>
  <c r="D74" i="7"/>
  <c r="D36" i="57" l="1"/>
  <c r="H36" i="57" s="1"/>
  <c r="F36" i="57"/>
  <c r="F37" i="57"/>
  <c r="F35" i="57"/>
  <c r="D4" i="57"/>
  <c r="E23" i="57" s="1"/>
  <c r="E18" i="57"/>
  <c r="F18" i="57" s="1"/>
  <c r="G18" i="57" s="1"/>
  <c r="H18" i="57" s="1"/>
  <c r="I18" i="57" s="1"/>
  <c r="D17" i="57"/>
  <c r="E15" i="57"/>
  <c r="F15" i="57"/>
  <c r="G15" i="57"/>
  <c r="H15" i="57"/>
  <c r="I15" i="57"/>
  <c r="I29" i="57" s="1"/>
  <c r="D15" i="57"/>
  <c r="D12" i="57"/>
  <c r="D13" i="57" s="1"/>
  <c r="D16" i="57" s="1"/>
  <c r="D19" i="57" s="1"/>
  <c r="E8" i="57"/>
  <c r="F8" i="57" s="1"/>
  <c r="G8" i="57" s="1"/>
  <c r="H8" i="57" s="1"/>
  <c r="I8" i="57" s="1"/>
  <c r="H11" i="56"/>
  <c r="H10" i="56"/>
  <c r="G11" i="56"/>
  <c r="H5" i="56"/>
  <c r="H6" i="56"/>
  <c r="H7" i="56"/>
  <c r="H8" i="56"/>
  <c r="H4" i="56"/>
  <c r="G5" i="56"/>
  <c r="G6" i="56"/>
  <c r="G7" i="56"/>
  <c r="G8" i="56"/>
  <c r="G4" i="56"/>
  <c r="G10" i="56" s="1"/>
  <c r="I11" i="56"/>
  <c r="I10" i="56"/>
  <c r="D19" i="56"/>
  <c r="J8" i="56"/>
  <c r="D23" i="56" s="1"/>
  <c r="J5" i="56"/>
  <c r="J7" i="56"/>
  <c r="J6" i="56"/>
  <c r="J4" i="56"/>
  <c r="G45" i="54"/>
  <c r="H45" i="54"/>
  <c r="I45" i="54"/>
  <c r="J45" i="54"/>
  <c r="F45" i="54"/>
  <c r="E48" i="7"/>
  <c r="F48" i="7" s="1"/>
  <c r="D76" i="54"/>
  <c r="D69" i="54"/>
  <c r="F37" i="54"/>
  <c r="D11" i="54"/>
  <c r="G25" i="54"/>
  <c r="H25" i="54" s="1"/>
  <c r="I25" i="54" s="1"/>
  <c r="J25" i="54" s="1"/>
  <c r="B19" i="54"/>
  <c r="B72" i="54" s="1"/>
  <c r="B18" i="54"/>
  <c r="B65" i="54" s="1"/>
  <c r="E17" i="54"/>
  <c r="L11" i="54"/>
  <c r="L5" i="54"/>
  <c r="L7" i="54" s="1"/>
  <c r="E24" i="57" l="1"/>
  <c r="D20" i="57"/>
  <c r="D21" i="57" s="1"/>
  <c r="F23" i="57"/>
  <c r="G23" i="57" s="1"/>
  <c r="H23" i="57" s="1"/>
  <c r="I23" i="57" s="1"/>
  <c r="I26" i="57" s="1"/>
  <c r="E11" i="57"/>
  <c r="E17" i="57" s="1"/>
  <c r="D27" i="56"/>
  <c r="D28" i="56"/>
  <c r="I3" i="57" s="1"/>
  <c r="G24" i="57" s="1"/>
  <c r="J10" i="56"/>
  <c r="D21" i="56" s="1"/>
  <c r="J11" i="56"/>
  <c r="D22" i="56" s="1"/>
  <c r="D29" i="56" s="1"/>
  <c r="G48" i="7"/>
  <c r="G34" i="54" s="1"/>
  <c r="F34" i="54"/>
  <c r="H48" i="7"/>
  <c r="F24" i="57" l="1"/>
  <c r="D40" i="57"/>
  <c r="I27" i="57"/>
  <c r="H24" i="57"/>
  <c r="I24" i="57"/>
  <c r="F11" i="57"/>
  <c r="F17" i="57" s="1"/>
  <c r="E12" i="57"/>
  <c r="E13" i="57" s="1"/>
  <c r="E16" i="57" s="1"/>
  <c r="E19" i="57" s="1"/>
  <c r="E21" i="57" s="1"/>
  <c r="I48" i="7"/>
  <c r="H34" i="54"/>
  <c r="G11" i="57" l="1"/>
  <c r="G17" i="57" s="1"/>
  <c r="F12" i="57"/>
  <c r="F13" i="57" s="1"/>
  <c r="F16" i="57" s="1"/>
  <c r="F19" i="57" s="1"/>
  <c r="F21" i="57" s="1"/>
  <c r="G12" i="57"/>
  <c r="G13" i="57" s="1"/>
  <c r="G16" i="57" s="1"/>
  <c r="G19" i="57" s="1"/>
  <c r="G21" i="57" s="1"/>
  <c r="J48" i="7"/>
  <c r="J34" i="54" s="1"/>
  <c r="I34" i="54"/>
  <c r="H11" i="57" l="1"/>
  <c r="L40" i="55"/>
  <c r="K40" i="55"/>
  <c r="K34" i="55"/>
  <c r="L34" i="55" s="1"/>
  <c r="E35" i="55"/>
  <c r="Q35" i="55" s="1"/>
  <c r="F35" i="55"/>
  <c r="R35" i="55" s="1"/>
  <c r="D35" i="55"/>
  <c r="P35" i="55" s="1"/>
  <c r="L33" i="55"/>
  <c r="K33" i="55"/>
  <c r="J33" i="55"/>
  <c r="E33" i="55"/>
  <c r="Q33" i="55" s="1"/>
  <c r="F33" i="55"/>
  <c r="R33" i="55" s="1"/>
  <c r="D33" i="55"/>
  <c r="P33" i="55" s="1"/>
  <c r="N35" i="55"/>
  <c r="N34" i="55"/>
  <c r="N33" i="55"/>
  <c r="H34" i="55"/>
  <c r="H35" i="55"/>
  <c r="H33" i="55"/>
  <c r="I11" i="57" l="1"/>
  <c r="H17" i="57"/>
  <c r="H12" i="57"/>
  <c r="H13" i="57" s="1"/>
  <c r="H16" i="57" s="1"/>
  <c r="H19" i="57" s="1"/>
  <c r="H21" i="57" s="1"/>
  <c r="P5" i="55"/>
  <c r="R5" i="55" s="1"/>
  <c r="S5" i="55" s="1"/>
  <c r="K26" i="55"/>
  <c r="L26" i="55" s="1"/>
  <c r="D26" i="55"/>
  <c r="E26" i="55" s="1"/>
  <c r="F26" i="55" s="1"/>
  <c r="H26" i="55"/>
  <c r="N26" i="55"/>
  <c r="H46" i="55"/>
  <c r="H44" i="55"/>
  <c r="H40" i="55"/>
  <c r="J46" i="55"/>
  <c r="J23" i="55" s="1"/>
  <c r="J24" i="55" s="1"/>
  <c r="J25" i="55" s="1"/>
  <c r="P45" i="55"/>
  <c r="Q45" i="55" s="1"/>
  <c r="R45" i="55" s="1"/>
  <c r="P44" i="55"/>
  <c r="Q44" i="55" s="1"/>
  <c r="R44" i="55" s="1"/>
  <c r="E44" i="55"/>
  <c r="J42" i="55"/>
  <c r="Q6" i="55"/>
  <c r="Q7" i="55" s="1"/>
  <c r="Q8" i="55" s="1"/>
  <c r="D40" i="55"/>
  <c r="N23" i="55"/>
  <c r="Q22" i="55"/>
  <c r="R22" i="55"/>
  <c r="P22" i="55"/>
  <c r="H25" i="55"/>
  <c r="N22" i="55"/>
  <c r="N24" i="55"/>
  <c r="N25" i="55"/>
  <c r="H22" i="55"/>
  <c r="H24" i="55"/>
  <c r="H21" i="55"/>
  <c r="N21" i="55"/>
  <c r="E4" i="55"/>
  <c r="I12" i="57" l="1"/>
  <c r="I13" i="57" s="1"/>
  <c r="I16" i="57" s="1"/>
  <c r="I17" i="57"/>
  <c r="P6" i="55"/>
  <c r="P7" i="55" s="1"/>
  <c r="E40" i="55"/>
  <c r="F40" i="55" s="1"/>
  <c r="J27" i="55"/>
  <c r="J36" i="55"/>
  <c r="K5" i="55"/>
  <c r="D42" i="55"/>
  <c r="K42" i="55"/>
  <c r="K46" i="55"/>
  <c r="K23" i="55" s="1"/>
  <c r="K24" i="55" s="1"/>
  <c r="K25" i="55" s="1"/>
  <c r="P40" i="55"/>
  <c r="F44" i="55"/>
  <c r="D46" i="55"/>
  <c r="D23" i="55" s="1"/>
  <c r="E5" i="55"/>
  <c r="D26" i="7"/>
  <c r="G52" i="7" s="1"/>
  <c r="I19" i="57" l="1"/>
  <c r="I21" i="57" s="1"/>
  <c r="K27" i="55"/>
  <c r="Q14" i="55" s="1"/>
  <c r="K36" i="55"/>
  <c r="Q40" i="55"/>
  <c r="E42" i="55"/>
  <c r="E46" i="55"/>
  <c r="E23" i="55" s="1"/>
  <c r="F52" i="7"/>
  <c r="H39" i="57" l="1"/>
  <c r="I30" i="57"/>
  <c r="D41" i="57"/>
  <c r="D39" i="57" s="1"/>
  <c r="D32" i="57"/>
  <c r="D35" i="57" s="1"/>
  <c r="D37" i="57" s="1"/>
  <c r="L42" i="55"/>
  <c r="L46" i="55"/>
  <c r="L23" i="55" s="1"/>
  <c r="L24" i="55" s="1"/>
  <c r="L25" i="55" s="1"/>
  <c r="L27" i="55" s="1"/>
  <c r="B62" i="7"/>
  <c r="B61" i="7"/>
  <c r="F72" i="7"/>
  <c r="F71" i="7"/>
  <c r="F70" i="7"/>
  <c r="F65" i="7"/>
  <c r="F69" i="7"/>
  <c r="F66" i="7"/>
  <c r="D66" i="7"/>
  <c r="H66" i="7" s="1"/>
  <c r="E41" i="7"/>
  <c r="E19" i="6"/>
  <c r="E20" i="6"/>
  <c r="E21" i="6"/>
  <c r="E18" i="6"/>
  <c r="H35" i="57" l="1"/>
  <c r="H37" i="57" s="1"/>
  <c r="L36" i="55"/>
  <c r="H52" i="7"/>
  <c r="I52" i="7" s="1"/>
  <c r="J52" i="7" s="1"/>
  <c r="J54" i="7" s="1"/>
  <c r="D9" i="6" l="1"/>
  <c r="H10" i="6" s="1"/>
  <c r="G19" i="6"/>
  <c r="G20" i="6"/>
  <c r="G21" i="6"/>
  <c r="G18" i="6"/>
  <c r="F31" i="7"/>
  <c r="B20" i="7" s="1"/>
  <c r="E34" i="7"/>
  <c r="E37" i="7"/>
  <c r="E35" i="7" s="1"/>
  <c r="E36" i="7" s="1"/>
  <c r="E39" i="7" s="1"/>
  <c r="E40" i="7" s="1"/>
  <c r="I16" i="7"/>
  <c r="K18" i="6"/>
  <c r="J22" i="6"/>
  <c r="J10" i="7"/>
  <c r="K19" i="6"/>
  <c r="J6" i="7"/>
  <c r="J19" i="6"/>
  <c r="K20" i="6"/>
  <c r="J18" i="6"/>
  <c r="J20" i="6"/>
  <c r="J9" i="7"/>
  <c r="K21" i="6"/>
  <c r="L8" i="54"/>
  <c r="K22" i="6"/>
  <c r="J21" i="6"/>
  <c r="G31" i="7" l="1"/>
  <c r="B21" i="7" s="1"/>
  <c r="B18" i="7"/>
  <c r="F33" i="7"/>
  <c r="G34" i="7"/>
  <c r="H34" i="7" s="1"/>
  <c r="I34" i="7" s="1"/>
  <c r="J34" i="7" s="1"/>
  <c r="L9" i="54"/>
  <c r="J16" i="7"/>
  <c r="E12" i="7"/>
  <c r="D11" i="6" s="1"/>
  <c r="L10" i="54"/>
  <c r="K18" i="54" s="1"/>
  <c r="E47" i="7"/>
  <c r="J25" i="6"/>
  <c r="H5" i="6" s="1"/>
  <c r="J24" i="6"/>
  <c r="K25" i="6"/>
  <c r="K24" i="6"/>
  <c r="D35" i="7"/>
  <c r="D36" i="7" s="1"/>
  <c r="D39" i="7" s="1"/>
  <c r="E42" i="7"/>
  <c r="E45" i="7"/>
  <c r="F37" i="7"/>
  <c r="J11" i="7"/>
  <c r="B5" i="7"/>
  <c r="D42" i="7" l="1"/>
  <c r="D40" i="7"/>
  <c r="H31" i="7"/>
  <c r="I31" i="7" s="1"/>
  <c r="J31" i="7" s="1"/>
  <c r="B19" i="7"/>
  <c r="F47" i="7"/>
  <c r="G33" i="7"/>
  <c r="F41" i="7"/>
  <c r="F28" i="54" s="1"/>
  <c r="F32" i="54" s="1"/>
  <c r="D22" i="6"/>
  <c r="L12" i="54"/>
  <c r="K17" i="54"/>
  <c r="E43" i="7"/>
  <c r="E46" i="7" s="1"/>
  <c r="E50" i="7" s="1"/>
  <c r="D43" i="7"/>
  <c r="D46" i="7" s="1"/>
  <c r="M33" i="6"/>
  <c r="D45" i="7"/>
  <c r="F35" i="7"/>
  <c r="F36" i="7" s="1"/>
  <c r="F39" i="7" s="1"/>
  <c r="F40" i="7" s="1"/>
  <c r="G37" i="7"/>
  <c r="E6" i="7"/>
  <c r="E7" i="7" s="1"/>
  <c r="E22" i="6" s="1"/>
  <c r="G47" i="7" l="1"/>
  <c r="G33" i="54" s="1"/>
  <c r="D34" i="55"/>
  <c r="P34" i="55" s="1"/>
  <c r="L13" i="54"/>
  <c r="F33" i="54"/>
  <c r="H33" i="7"/>
  <c r="G41" i="7"/>
  <c r="G28" i="54" s="1"/>
  <c r="G32" i="54" s="1"/>
  <c r="F27" i="54"/>
  <c r="F29" i="54" s="1"/>
  <c r="D12" i="54"/>
  <c r="D21" i="55"/>
  <c r="K21" i="54"/>
  <c r="L17" i="54" s="1"/>
  <c r="D50" i="7"/>
  <c r="M32" i="6"/>
  <c r="M31" i="6" s="1"/>
  <c r="M34" i="6"/>
  <c r="M35" i="6" s="1"/>
  <c r="E13" i="7"/>
  <c r="D12" i="6"/>
  <c r="G35" i="7"/>
  <c r="G36" i="7" s="1"/>
  <c r="G39" i="7" s="1"/>
  <c r="G40" i="7" s="1"/>
  <c r="H37" i="7"/>
  <c r="D18" i="7"/>
  <c r="D20" i="7" s="1"/>
  <c r="E20" i="7" s="1"/>
  <c r="F45" i="7"/>
  <c r="F42" i="7"/>
  <c r="H47" i="7" l="1"/>
  <c r="H33" i="54" s="1"/>
  <c r="E34" i="55"/>
  <c r="Q34" i="55" s="1"/>
  <c r="I33" i="7"/>
  <c r="H41" i="7"/>
  <c r="H28" i="54" s="1"/>
  <c r="H32" i="54" s="1"/>
  <c r="G27" i="54"/>
  <c r="E21" i="55"/>
  <c r="Q21" i="55" s="1"/>
  <c r="P21" i="55"/>
  <c r="F13" i="55" s="1"/>
  <c r="P8" i="55"/>
  <c r="D24" i="55"/>
  <c r="D25" i="55" s="1"/>
  <c r="F8" i="54"/>
  <c r="E8" i="54"/>
  <c r="E18" i="54" s="1"/>
  <c r="L19" i="54"/>
  <c r="L20" i="54"/>
  <c r="L18" i="54"/>
  <c r="I47" i="7"/>
  <c r="F34" i="55"/>
  <c r="R34" i="55" s="1"/>
  <c r="F43" i="7"/>
  <c r="F46" i="7" s="1"/>
  <c r="C11" i="6"/>
  <c r="F22" i="6" s="1"/>
  <c r="C12" i="6"/>
  <c r="G22" i="6" s="1"/>
  <c r="E18" i="7"/>
  <c r="I37" i="7"/>
  <c r="H35" i="7"/>
  <c r="H36" i="7" s="1"/>
  <c r="H39" i="7" s="1"/>
  <c r="H40" i="7" s="1"/>
  <c r="G42" i="7"/>
  <c r="G45" i="7"/>
  <c r="D19" i="7"/>
  <c r="J33" i="7" l="1"/>
  <c r="J41" i="7" s="1"/>
  <c r="J28" i="54" s="1"/>
  <c r="J32" i="54" s="1"/>
  <c r="I41" i="7"/>
  <c r="I28" i="54" s="1"/>
  <c r="I32" i="54" s="1"/>
  <c r="H27" i="54"/>
  <c r="F21" i="55"/>
  <c r="R21" i="55" s="1"/>
  <c r="F44" i="54"/>
  <c r="F46" i="54" s="1"/>
  <c r="G29" i="54"/>
  <c r="D27" i="55"/>
  <c r="D36" i="55"/>
  <c r="L21" i="54"/>
  <c r="F66" i="54"/>
  <c r="D18" i="54"/>
  <c r="E19" i="54"/>
  <c r="J47" i="7"/>
  <c r="J33" i="54" s="1"/>
  <c r="I33" i="54"/>
  <c r="E24" i="55"/>
  <c r="E25" i="55" s="1"/>
  <c r="F49" i="7"/>
  <c r="F50" i="7" s="1"/>
  <c r="G43" i="7"/>
  <c r="G46" i="7" s="1"/>
  <c r="G50" i="7" s="1"/>
  <c r="G24" i="6"/>
  <c r="G25" i="6"/>
  <c r="F24" i="6"/>
  <c r="F25" i="6"/>
  <c r="H7" i="6" s="1"/>
  <c r="H42" i="7"/>
  <c r="H45" i="7"/>
  <c r="D21" i="7"/>
  <c r="E21" i="7" s="1"/>
  <c r="E19" i="7"/>
  <c r="I35" i="7"/>
  <c r="I36" i="7" s="1"/>
  <c r="I39" i="7" s="1"/>
  <c r="J37" i="7"/>
  <c r="I27" i="54" l="1"/>
  <c r="I40" i="7"/>
  <c r="H44" i="54"/>
  <c r="H46" i="54" s="1"/>
  <c r="I29" i="54"/>
  <c r="G44" i="54"/>
  <c r="G46" i="54" s="1"/>
  <c r="H29" i="54"/>
  <c r="D19" i="54"/>
  <c r="D21" i="54" s="1"/>
  <c r="F73" i="54"/>
  <c r="E20" i="54"/>
  <c r="E27" i="55"/>
  <c r="Q13" i="55" s="1"/>
  <c r="E36" i="55"/>
  <c r="J35" i="7"/>
  <c r="J36" i="7" s="1"/>
  <c r="J39" i="7" s="1"/>
  <c r="H43" i="7"/>
  <c r="H46" i="7" s="1"/>
  <c r="H50" i="7" s="1"/>
  <c r="P30" i="6"/>
  <c r="H9" i="6"/>
  <c r="I42" i="7"/>
  <c r="I45" i="7"/>
  <c r="J27" i="54" l="1"/>
  <c r="J40" i="7"/>
  <c r="J45" i="7"/>
  <c r="I44" i="54"/>
  <c r="I46" i="54" s="1"/>
  <c r="J29" i="54"/>
  <c r="F49" i="54"/>
  <c r="I49" i="54"/>
  <c r="J49" i="54"/>
  <c r="H49" i="54"/>
  <c r="G49" i="54"/>
  <c r="E21" i="54"/>
  <c r="F46" i="55"/>
  <c r="F23" i="55" s="1"/>
  <c r="F24" i="55" s="1"/>
  <c r="F25" i="55" s="1"/>
  <c r="R40" i="55"/>
  <c r="F42" i="55"/>
  <c r="J42" i="7"/>
  <c r="J43" i="7" s="1"/>
  <c r="J46" i="7" s="1"/>
  <c r="J50" i="7" s="1"/>
  <c r="J57" i="7"/>
  <c r="I43" i="7"/>
  <c r="I46" i="7" s="1"/>
  <c r="I50" i="7" s="1"/>
  <c r="H6" i="6"/>
  <c r="H11" i="6" s="1"/>
  <c r="O30" i="6"/>
  <c r="N30" i="6" s="1"/>
  <c r="Q30" i="6"/>
  <c r="R30" i="6" s="1"/>
  <c r="J44" i="54" l="1"/>
  <c r="J46" i="54" s="1"/>
  <c r="F18" i="54"/>
  <c r="F17" i="54"/>
  <c r="F19" i="54"/>
  <c r="F20" i="54"/>
  <c r="F27" i="55"/>
  <c r="F36" i="55"/>
  <c r="H12" i="6"/>
  <c r="F21" i="54" l="1"/>
  <c r="J58" i="7"/>
  <c r="J55" i="7"/>
  <c r="F53" i="7"/>
  <c r="G53" i="7"/>
  <c r="H53" i="7"/>
  <c r="I53" i="7"/>
  <c r="J53" i="7"/>
  <c r="M30" i="6"/>
  <c r="I12" i="6"/>
  <c r="D60" i="7" l="1"/>
  <c r="D62" i="7"/>
  <c r="D61" i="7"/>
  <c r="D65" i="7" l="1"/>
  <c r="H65" i="7"/>
  <c r="L16" i="55"/>
  <c r="K4" i="55" s="1"/>
  <c r="K8" i="55" l="1"/>
  <c r="R15" i="55"/>
  <c r="L5" i="55" l="1"/>
  <c r="E6" i="55"/>
  <c r="L6" i="55"/>
  <c r="L4" i="55"/>
  <c r="R6" i="55" l="1"/>
  <c r="S6" i="55" s="1"/>
  <c r="S7" i="55" s="1"/>
  <c r="S8" i="55" s="1"/>
  <c r="P41" i="55"/>
  <c r="E7" i="55"/>
  <c r="E8" i="55" s="1"/>
  <c r="L8" i="55"/>
  <c r="F4" i="55" l="1"/>
  <c r="F5" i="55"/>
  <c r="F6" i="55"/>
  <c r="P42" i="55"/>
  <c r="Q41" i="55"/>
  <c r="P46" i="55"/>
  <c r="P23" i="55" s="1"/>
  <c r="F7" i="55"/>
  <c r="F16" i="55"/>
  <c r="P26" i="55" l="1"/>
  <c r="Q26" i="55" s="1"/>
  <c r="R26" i="55" s="1"/>
  <c r="P24" i="55"/>
  <c r="P25" i="55" s="1"/>
  <c r="Q46" i="55"/>
  <c r="Q23" i="55" s="1"/>
  <c r="Q42" i="55"/>
  <c r="R41" i="55"/>
  <c r="F8" i="55"/>
  <c r="R16" i="55" l="1"/>
  <c r="Q16" i="55" s="1"/>
  <c r="P36" i="55"/>
  <c r="P27" i="55"/>
  <c r="R46" i="55"/>
  <c r="R23" i="55" s="1"/>
  <c r="R42" i="55"/>
  <c r="Q24" i="55"/>
  <c r="Q25" i="55" s="1"/>
  <c r="Q27" i="55" l="1"/>
  <c r="Q36" i="55"/>
  <c r="R24" i="55"/>
  <c r="R25" i="55" s="1"/>
  <c r="R36" i="55" l="1"/>
  <c r="R27" i="55"/>
  <c r="Q29" i="55"/>
  <c r="Q28" i="55"/>
  <c r="Q30" i="55" s="1"/>
  <c r="Q31" i="55" s="1"/>
  <c r="R29" i="55" l="1"/>
  <c r="R28" i="55"/>
  <c r="R30" i="55" s="1"/>
  <c r="R31" i="55" s="1"/>
  <c r="D69" i="7" l="1"/>
  <c r="H69" i="7"/>
  <c r="D70" i="7"/>
  <c r="H70" i="7"/>
  <c r="D71" i="7"/>
  <c r="H71" i="7"/>
  <c r="D72" i="7"/>
  <c r="H72" i="7"/>
  <c r="F30" i="54"/>
  <c r="G30" i="54"/>
  <c r="H30" i="54"/>
  <c r="I30" i="54"/>
  <c r="J30" i="54"/>
  <c r="F31" i="54"/>
  <c r="G31" i="54"/>
  <c r="H31" i="54"/>
  <c r="I31" i="54"/>
  <c r="J31" i="54"/>
  <c r="F35" i="54"/>
  <c r="G35" i="54"/>
  <c r="H35" i="54"/>
  <c r="I35" i="54"/>
  <c r="J35" i="54"/>
  <c r="G37" i="54"/>
  <c r="H37" i="54"/>
  <c r="I37" i="54"/>
  <c r="J37" i="54"/>
  <c r="F38" i="54"/>
  <c r="G38" i="54"/>
  <c r="H38" i="54"/>
  <c r="I38" i="54"/>
  <c r="J38" i="54"/>
  <c r="F39" i="54"/>
  <c r="G39" i="54"/>
  <c r="H39" i="54"/>
  <c r="I39" i="54"/>
  <c r="J39" i="54"/>
  <c r="F40" i="54"/>
  <c r="G40" i="54"/>
  <c r="H40" i="54"/>
  <c r="I40" i="54"/>
  <c r="J40" i="54"/>
  <c r="F47" i="54"/>
  <c r="G47" i="54"/>
  <c r="H47" i="54"/>
  <c r="I47" i="54"/>
  <c r="J47" i="54"/>
  <c r="F48" i="54"/>
  <c r="G48" i="54"/>
  <c r="H48" i="54"/>
  <c r="I48" i="54"/>
  <c r="J48" i="54"/>
  <c r="F52" i="54"/>
  <c r="G52" i="54"/>
  <c r="H52" i="54"/>
  <c r="I52" i="54"/>
  <c r="J52" i="54"/>
  <c r="F53" i="54"/>
  <c r="G53" i="54"/>
  <c r="H53" i="54"/>
  <c r="I53" i="54"/>
  <c r="J53" i="54"/>
  <c r="G58" i="54"/>
  <c r="H58" i="54"/>
  <c r="I58" i="54"/>
  <c r="J58" i="54"/>
  <c r="F59" i="54"/>
  <c r="G59" i="54"/>
  <c r="H59" i="54"/>
  <c r="I59" i="54"/>
  <c r="J59" i="54"/>
  <c r="F60" i="54"/>
  <c r="G60" i="54"/>
  <c r="H60" i="54"/>
  <c r="I60" i="54"/>
  <c r="J60" i="54"/>
  <c r="F61" i="54"/>
  <c r="F62" i="54"/>
  <c r="G62" i="54"/>
  <c r="H62" i="54"/>
  <c r="I62" i="54"/>
  <c r="J62" i="54"/>
  <c r="F63" i="54"/>
  <c r="G63" i="54"/>
  <c r="H63" i="54"/>
  <c r="I63" i="54"/>
  <c r="J63" i="54"/>
  <c r="G66" i="54"/>
  <c r="H66" i="54"/>
  <c r="I66" i="54"/>
  <c r="J66" i="54"/>
  <c r="F67" i="54"/>
  <c r="G67" i="54"/>
  <c r="H67" i="54"/>
  <c r="I67" i="54"/>
  <c r="J67" i="54"/>
  <c r="F68" i="54"/>
  <c r="G68" i="54"/>
  <c r="H68" i="54"/>
  <c r="I68" i="54"/>
  <c r="J68" i="54"/>
  <c r="F69" i="54"/>
  <c r="G69" i="54"/>
  <c r="H69" i="54"/>
  <c r="I69" i="54"/>
  <c r="J69" i="54"/>
  <c r="F70" i="54"/>
  <c r="G70" i="54"/>
  <c r="H70" i="54"/>
  <c r="I70" i="54"/>
  <c r="J70" i="54"/>
  <c r="G73" i="54"/>
  <c r="H73" i="54"/>
  <c r="I73" i="54"/>
  <c r="J73" i="54"/>
  <c r="F74" i="54"/>
  <c r="G74" i="54"/>
  <c r="H74" i="54"/>
  <c r="I74" i="54"/>
  <c r="J74" i="54"/>
  <c r="F75" i="54"/>
  <c r="G75" i="54"/>
  <c r="H75" i="54"/>
  <c r="I75" i="54"/>
  <c r="J75" i="54"/>
  <c r="F76" i="54"/>
  <c r="G76" i="54"/>
  <c r="H76" i="54"/>
  <c r="I76" i="54"/>
  <c r="J76" i="54"/>
  <c r="F78" i="54"/>
  <c r="G78" i="54"/>
  <c r="H78" i="54"/>
  <c r="I78" i="54"/>
  <c r="J78" i="54"/>
  <c r="F79" i="54"/>
  <c r="G79" i="54"/>
  <c r="H79" i="54"/>
  <c r="I79" i="54"/>
  <c r="J79" i="54"/>
  <c r="F80" i="54"/>
  <c r="G80" i="54"/>
  <c r="H80" i="54"/>
  <c r="I80" i="54"/>
  <c r="J80" i="54"/>
</calcChain>
</file>

<file path=xl/comments1.xml><?xml version="1.0" encoding="utf-8"?>
<comments xmlns="http://schemas.openxmlformats.org/spreadsheetml/2006/main">
  <authors>
    <author>Terra, Andre</author>
  </authors>
  <commentList>
    <comment ref="J6" authorId="0" shapeId="0">
      <text>
        <r>
          <rPr>
            <b/>
            <sz val="9"/>
            <color indexed="81"/>
            <rFont val="Tahoma"/>
            <family val="2"/>
          </rPr>
          <t>Terra, Andy:</t>
        </r>
        <r>
          <rPr>
            <sz val="9"/>
            <color indexed="81"/>
            <rFont val="Tahoma"/>
            <family val="2"/>
          </rPr>
          <t xml:space="preserve">
Way cooler like this</t>
        </r>
      </text>
    </comment>
  </commentList>
</comments>
</file>

<file path=xl/comments2.xml><?xml version="1.0" encoding="utf-8"?>
<comments xmlns="http://schemas.openxmlformats.org/spreadsheetml/2006/main">
  <authors>
    <author>Terra, Andre</author>
  </authors>
  <commentList>
    <comment ref="C15" authorId="0" shapeId="0">
      <text>
        <r>
          <rPr>
            <b/>
            <sz val="9"/>
            <color indexed="81"/>
            <rFont val="Tahoma"/>
            <family val="2"/>
          </rPr>
          <t>Terra, Andy:</t>
        </r>
        <r>
          <rPr>
            <sz val="9"/>
            <color indexed="81"/>
            <rFont val="Tahoma"/>
            <family val="2"/>
          </rPr>
          <t xml:space="preserve">
Duff &amp; Phelps 2017</t>
        </r>
      </text>
    </comment>
    <comment ref="C16" authorId="0" shapeId="0">
      <text>
        <r>
          <rPr>
            <b/>
            <sz val="9"/>
            <color indexed="81"/>
            <rFont val="Tahoma"/>
            <family val="2"/>
          </rPr>
          <t>Terra, Andy:</t>
        </r>
        <r>
          <rPr>
            <sz val="9"/>
            <color indexed="81"/>
            <rFont val="Tahoma"/>
            <family val="2"/>
          </rPr>
          <t xml:space="preserve">
As of Friday, February 16, 2018</t>
        </r>
      </text>
    </comment>
  </commentList>
</comments>
</file>

<file path=xl/comments3.xml><?xml version="1.0" encoding="utf-8"?>
<comments xmlns="http://schemas.openxmlformats.org/spreadsheetml/2006/main">
  <authors>
    <author>Terra, Andre</author>
  </authors>
  <commentList>
    <comment ref="D5" authorId="0" shapeId="0">
      <text>
        <r>
          <rPr>
            <b/>
            <sz val="9"/>
            <color indexed="81"/>
            <rFont val="Tahoma"/>
            <family val="2"/>
          </rPr>
          <t>Terra, Andy:</t>
        </r>
        <r>
          <rPr>
            <sz val="9"/>
            <color indexed="81"/>
            <rFont val="Tahoma"/>
            <family val="2"/>
          </rPr>
          <t xml:space="preserve">
Assumption</t>
        </r>
      </text>
    </comment>
    <comment ref="D6" authorId="0" shapeId="0">
      <text>
        <r>
          <rPr>
            <b/>
            <sz val="9"/>
            <color indexed="81"/>
            <rFont val="Tahoma"/>
            <family val="2"/>
          </rPr>
          <t>Terra, Andy:</t>
        </r>
        <r>
          <rPr>
            <sz val="9"/>
            <color indexed="81"/>
            <rFont val="Tahoma"/>
            <family val="2"/>
          </rPr>
          <t xml:space="preserve">
As of Friday, Feb 16</t>
        </r>
      </text>
    </comment>
    <comment ref="D7" authorId="0" shapeId="0">
      <text>
        <r>
          <rPr>
            <b/>
            <sz val="9"/>
            <color indexed="81"/>
            <rFont val="Tahoma"/>
            <family val="2"/>
          </rPr>
          <t>Terra, Andy:</t>
        </r>
        <r>
          <rPr>
            <sz val="9"/>
            <color indexed="81"/>
            <rFont val="Tahoma"/>
            <family val="2"/>
          </rPr>
          <t xml:space="preserve">
Assumption</t>
        </r>
      </text>
    </comment>
    <comment ref="D8" authorId="0" shapeId="0">
      <text>
        <r>
          <rPr>
            <b/>
            <sz val="9"/>
            <color indexed="81"/>
            <rFont val="Tahoma"/>
            <family val="2"/>
          </rPr>
          <t>Terra, Andy:</t>
        </r>
        <r>
          <rPr>
            <sz val="9"/>
            <color indexed="81"/>
            <rFont val="Tahoma"/>
            <family val="2"/>
          </rPr>
          <t xml:space="preserve">
Assumption</t>
        </r>
      </text>
    </comment>
    <comment ref="D9" authorId="0" shapeId="0">
      <text>
        <r>
          <rPr>
            <b/>
            <sz val="9"/>
            <color indexed="81"/>
            <rFont val="Tahoma"/>
            <family val="2"/>
          </rPr>
          <t>Terra, Andy:</t>
        </r>
        <r>
          <rPr>
            <sz val="9"/>
            <color indexed="81"/>
            <rFont val="Tahoma"/>
            <family val="2"/>
          </rPr>
          <t xml:space="preserve">
Assumption</t>
        </r>
      </text>
    </comment>
  </commentList>
</comments>
</file>

<file path=xl/sharedStrings.xml><?xml version="1.0" encoding="utf-8"?>
<sst xmlns="http://schemas.openxmlformats.org/spreadsheetml/2006/main" count="338" uniqueCount="241">
  <si>
    <t>Revenue</t>
  </si>
  <si>
    <t>% Growth</t>
  </si>
  <si>
    <t>Control Panel</t>
  </si>
  <si>
    <t>Circularity</t>
  </si>
  <si>
    <t>Gross Margin</t>
  </si>
  <si>
    <t>% Margin</t>
  </si>
  <si>
    <t>Less: COGS</t>
  </si>
  <si>
    <t>Less: SG&amp;A</t>
  </si>
  <si>
    <t>EBIT</t>
  </si>
  <si>
    <t>Less: D&amp;A</t>
  </si>
  <si>
    <t>EBITDA</t>
  </si>
  <si>
    <t>Taxes on EBIT</t>
  </si>
  <si>
    <t>Key Assumptions</t>
  </si>
  <si>
    <t>Tax Rate</t>
  </si>
  <si>
    <t>DCF Model</t>
  </si>
  <si>
    <t>Less: Taxes</t>
  </si>
  <si>
    <t>Less: Capex</t>
  </si>
  <si>
    <t>Less: Change in NWC</t>
  </si>
  <si>
    <t>UFCF</t>
  </si>
  <si>
    <t>WACC</t>
  </si>
  <si>
    <t>Valuation</t>
  </si>
  <si>
    <t>As of</t>
  </si>
  <si>
    <t>Dilution Table</t>
  </si>
  <si>
    <t>Strike</t>
  </si>
  <si>
    <t>Amount</t>
  </si>
  <si>
    <t>Dilution</t>
  </si>
  <si>
    <t>Options 1</t>
  </si>
  <si>
    <t>Options 2</t>
  </si>
  <si>
    <t>Market Cap</t>
  </si>
  <si>
    <t>Diluted Shares Outstanding (millions)</t>
  </si>
  <si>
    <t>Basic Shares (millions)</t>
  </si>
  <si>
    <t>Dilution (millions)</t>
  </si>
  <si>
    <t>RSUs</t>
  </si>
  <si>
    <t>Total Enterprise Value</t>
  </si>
  <si>
    <t>Plus: Debt</t>
  </si>
  <si>
    <t>Plus: Minority Interest</t>
  </si>
  <si>
    <t>Less: Cash</t>
  </si>
  <si>
    <t>Plus: Preferred Stock</t>
  </si>
  <si>
    <t>Plus: Exchangeable Notes</t>
  </si>
  <si>
    <t>Exchangeable Notes</t>
  </si>
  <si>
    <t>Metric</t>
  </si>
  <si>
    <t>Multiple</t>
  </si>
  <si>
    <t>Multiples</t>
  </si>
  <si>
    <t>Net Debt / 2017E EBITDA</t>
  </si>
  <si>
    <t>Strike ($)</t>
  </si>
  <si>
    <t>Value ($mm)</t>
  </si>
  <si>
    <t>Market Risk Premium</t>
  </si>
  <si>
    <t>20-year Treasury Rate</t>
  </si>
  <si>
    <t>Size Premium</t>
  </si>
  <si>
    <t>Debt</t>
  </si>
  <si>
    <t>Equity</t>
  </si>
  <si>
    <t>Betas</t>
  </si>
  <si>
    <t>Company A</t>
  </si>
  <si>
    <t>Company</t>
  </si>
  <si>
    <t>2-year</t>
  </si>
  <si>
    <t>5-year</t>
  </si>
  <si>
    <t>Unlevered</t>
  </si>
  <si>
    <t>Company B</t>
  </si>
  <si>
    <t>Company C</t>
  </si>
  <si>
    <t>Company D</t>
  </si>
  <si>
    <t>ValCo</t>
  </si>
  <si>
    <t>Cost of Equity</t>
  </si>
  <si>
    <t>Beta</t>
  </si>
  <si>
    <t>D/E</t>
  </si>
  <si>
    <t>Mean</t>
  </si>
  <si>
    <t>Median</t>
  </si>
  <si>
    <t>LTM Interest Rate</t>
  </si>
  <si>
    <t>WACC Sensitivity</t>
  </si>
  <si>
    <t>Debt to Total Capital</t>
  </si>
  <si>
    <t>Step</t>
  </si>
  <si>
    <t>D/V</t>
  </si>
  <si>
    <t>E/V</t>
  </si>
  <si>
    <t>Relevered</t>
  </si>
  <si>
    <t>L e v e r e d</t>
  </si>
  <si>
    <t>U n l e v e r e d</t>
  </si>
  <si>
    <t>LBO</t>
  </si>
  <si>
    <t>Sources</t>
  </si>
  <si>
    <t>Uses</t>
  </si>
  <si>
    <t>Total Uses</t>
  </si>
  <si>
    <t>Total Sources</t>
  </si>
  <si>
    <t>Valuation date</t>
  </si>
  <si>
    <t>Stub period</t>
  </si>
  <si>
    <t>Discount factor</t>
  </si>
  <si>
    <t>PV UFCF</t>
  </si>
  <si>
    <t>Mid-year convention</t>
  </si>
  <si>
    <t>Exit Multiple</t>
  </si>
  <si>
    <t>PGR</t>
  </si>
  <si>
    <t>Enterprise Value</t>
  </si>
  <si>
    <t>Exit Multiple Method</t>
  </si>
  <si>
    <t>Perpetuity Growth Rate Method</t>
  </si>
  <si>
    <t>Less: Net Debt</t>
  </si>
  <si>
    <t>Less: Convertible</t>
  </si>
  <si>
    <t>Equity Value</t>
  </si>
  <si>
    <t>Diluted Shares</t>
  </si>
  <si>
    <t>Equity Value per Share</t>
  </si>
  <si>
    <t>TV (Exit Multiple)</t>
  </si>
  <si>
    <t>TV (PGR)</t>
  </si>
  <si>
    <t>After-tax Cost of Debt</t>
  </si>
  <si>
    <t>Less: Stub period</t>
  </si>
  <si>
    <t>Discount period</t>
  </si>
  <si>
    <t>Implied PGR</t>
  </si>
  <si>
    <t>Implied Multiple</t>
  </si>
  <si>
    <t>LBO Model</t>
  </si>
  <si>
    <t>Accretion-Dilution Model</t>
  </si>
  <si>
    <t>$</t>
  </si>
  <si>
    <t>%</t>
  </si>
  <si>
    <t>Target Cash</t>
  </si>
  <si>
    <t>Acquirer Cash</t>
  </si>
  <si>
    <t>Net Debt</t>
  </si>
  <si>
    <t>New Notes</t>
  </si>
  <si>
    <t>Equity Issued</t>
  </si>
  <si>
    <t>Purchase Target Equity</t>
  </si>
  <si>
    <t>Refinance Target Debt</t>
  </si>
  <si>
    <t>Minimum Cash</t>
  </si>
  <si>
    <t>Target</t>
  </si>
  <si>
    <t>Acquirer</t>
  </si>
  <si>
    <t>Adj</t>
  </si>
  <si>
    <t>Pro Forma</t>
  </si>
  <si>
    <t>Cash</t>
  </si>
  <si>
    <t>Synergies</t>
  </si>
  <si>
    <t>Acquirer IS</t>
  </si>
  <si>
    <t>Target IS</t>
  </si>
  <si>
    <t>Pro Forma IS</t>
  </si>
  <si>
    <t>Acquirer Tax Rate</t>
  </si>
  <si>
    <t>Net Income</t>
  </si>
  <si>
    <t>Less: Interest</t>
  </si>
  <si>
    <t>Interest Rate on New Debt</t>
  </si>
  <si>
    <t>Target Tax Rate</t>
  </si>
  <si>
    <t>Debt Schedule</t>
  </si>
  <si>
    <t>Acquirer Debt Schedule</t>
  </si>
  <si>
    <t>Target Debt Schedule</t>
  </si>
  <si>
    <t>PF Debt Schedule</t>
  </si>
  <si>
    <t>Total Debt</t>
  </si>
  <si>
    <t>Acquirer Original Debt</t>
  </si>
  <si>
    <t>New Debt</t>
  </si>
  <si>
    <t>Interest Rate</t>
  </si>
  <si>
    <t>Interest Rate Original Debt</t>
  </si>
  <si>
    <t>Interest Rate New Debt</t>
  </si>
  <si>
    <t>Total Interest</t>
  </si>
  <si>
    <t>EPS</t>
  </si>
  <si>
    <t>(/) Shares Outstanding</t>
  </si>
  <si>
    <t>Shares Issued in Transaction</t>
  </si>
  <si>
    <t>Target Share Price</t>
  </si>
  <si>
    <t>Accretion / Dilution ($)</t>
  </si>
  <si>
    <t>Accretion / Dilution (%)</t>
  </si>
  <si>
    <t>Max Incremental Debt</t>
  </si>
  <si>
    <t>PF Capital Structure &amp; Credit Stats</t>
  </si>
  <si>
    <t>Original Debt</t>
  </si>
  <si>
    <t>Max Leverage (Net Debt / 2017E EBITDA)</t>
  </si>
  <si>
    <t>Offer Price</t>
  </si>
  <si>
    <t>Target Price</t>
  </si>
  <si>
    <t>Offer Premium</t>
  </si>
  <si>
    <t>All Stock</t>
  </si>
  <si>
    <t>All Cash</t>
  </si>
  <si>
    <t>Acquirer P/E</t>
  </si>
  <si>
    <t>Target P/E</t>
  </si>
  <si>
    <t>Additional synergies needed</t>
  </si>
  <si>
    <t>Total synergies needed / (cushion)</t>
  </si>
  <si>
    <t>Plus: D&amp;A</t>
  </si>
  <si>
    <t>LFCF</t>
  </si>
  <si>
    <t>Pro Forma Ownership</t>
  </si>
  <si>
    <t>Exchange Ratio</t>
  </si>
  <si>
    <t>Relative Valuations and More</t>
  </si>
  <si>
    <t>Revolver</t>
  </si>
  <si>
    <t>Rate</t>
  </si>
  <si>
    <t>Capacity</t>
  </si>
  <si>
    <t>LIBOR</t>
  </si>
  <si>
    <t>Commitment fee</t>
  </si>
  <si>
    <t>Leverage</t>
  </si>
  <si>
    <t>1st Lien</t>
  </si>
  <si>
    <t>2nd Lien</t>
  </si>
  <si>
    <t>% Premium</t>
  </si>
  <si>
    <t>Offer</t>
  </si>
  <si>
    <t>Offer price per Share</t>
  </si>
  <si>
    <t>(x) Shares Outstanding</t>
  </si>
  <si>
    <t>Offer Value</t>
  </si>
  <si>
    <t>Transaction Value</t>
  </si>
  <si>
    <t>Implied Entry Multiple</t>
  </si>
  <si>
    <t>Cash on Balance Sheet</t>
  </si>
  <si>
    <t>x</t>
  </si>
  <si>
    <t>Offer Value of Equity</t>
  </si>
  <si>
    <t>Transaction Costs</t>
  </si>
  <si>
    <t>Sponsor Equity</t>
  </si>
  <si>
    <t>Financing EBITDA</t>
  </si>
  <si>
    <t>Levered Free Cash Flow</t>
  </si>
  <si>
    <t>Beginning Cash Balance</t>
  </si>
  <si>
    <t>Ending Cash Balance</t>
  </si>
  <si>
    <t>Beginning Balance</t>
  </si>
  <si>
    <t>Draw / (Paydown)</t>
  </si>
  <si>
    <t>Ending Balance</t>
  </si>
  <si>
    <t>Interest Expense</t>
  </si>
  <si>
    <t>Commitment Fee</t>
  </si>
  <si>
    <t>Total Interest Expense</t>
  </si>
  <si>
    <t>Cash Available for Debt / (Needed)</t>
  </si>
  <si>
    <t>Change in Cash Balance</t>
  </si>
  <si>
    <t>Remaining Cash Available</t>
  </si>
  <si>
    <t>Returns Analysis</t>
  </si>
  <si>
    <t>Forward EBITDA</t>
  </si>
  <si>
    <t>Assumed Exit Multiple</t>
  </si>
  <si>
    <t>IRR</t>
  </si>
  <si>
    <t>Initial Sponsor Equity</t>
  </si>
  <si>
    <t>Discount Period</t>
  </si>
  <si>
    <t>MOIC</t>
  </si>
  <si>
    <t>Unlevered B</t>
  </si>
  <si>
    <t>Levered B</t>
  </si>
  <si>
    <t>A</t>
  </si>
  <si>
    <t>B</t>
  </si>
  <si>
    <t>D</t>
  </si>
  <si>
    <t>C</t>
  </si>
  <si>
    <t>Kd</t>
  </si>
  <si>
    <t>Tax</t>
  </si>
  <si>
    <t>MRP</t>
  </si>
  <si>
    <t>20-year T</t>
  </si>
  <si>
    <t>After tax Kd</t>
  </si>
  <si>
    <t>Ke</t>
  </si>
  <si>
    <t>Using Mean Industry Beta</t>
  </si>
  <si>
    <t>Using Median Industry Beta</t>
  </si>
  <si>
    <t>Using ValCo Beta</t>
  </si>
  <si>
    <t>Size-premium</t>
  </si>
  <si>
    <t>Using Mean Industry D/V</t>
  </si>
  <si>
    <t>Using Median Industry D/V</t>
  </si>
  <si>
    <t>Using ValCo D/V</t>
  </si>
  <si>
    <t>WACC (Using Median Beta)</t>
  </si>
  <si>
    <t>DCF2</t>
  </si>
  <si>
    <t>Taxes</t>
  </si>
  <si>
    <t>Mid-year?</t>
  </si>
  <si>
    <t>Stub</t>
  </si>
  <si>
    <t>Less: stub period</t>
  </si>
  <si>
    <t>TV Multiple discount period</t>
  </si>
  <si>
    <t>TV (Multiple)</t>
  </si>
  <si>
    <t>TV Multiple discount factor</t>
  </si>
  <si>
    <t>PF of Cash Flows</t>
  </si>
  <si>
    <t>Valuation (Multiple Method)</t>
  </si>
  <si>
    <t>Valuation (PGR Method)</t>
  </si>
  <si>
    <t>Factor</t>
  </si>
  <si>
    <t>Less: Minority Interest</t>
  </si>
  <si>
    <t>Less: Preferred Stock</t>
  </si>
  <si>
    <t>TV period for Exit Multiple method</t>
  </si>
  <si>
    <t>TV discount factor for Exit Multiple method</t>
  </si>
  <si>
    <t>% Debt</t>
  </si>
  <si>
    <t>% Equity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</si>
</sst>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5">
    <numFmt numFmtId="5" formatCode="&quot;$&quot;#,##0_);\(&quot;$&quot;#,##0\)"/>
    <numFmt numFmtId="7" formatCode="&quot;$&quot;#,##0.00_);\(&quot;$&quot;#,##0.00\)"/>
    <numFmt numFmtId="42" formatCode="_(&quot;$&quot;* #,##0_);_(&quot;$&quot;* \(#,##0\);_(&quot;$&quot;* &quot;-&quot;_);_(@_)"/>
    <numFmt numFmtId="41" formatCode="_(* #,##0_);_(* \(#,##0\);_(* &quot;-&quot;_);_(@_)"/>
    <numFmt numFmtId="164" formatCode="General\E_)"/>
    <numFmt numFmtId="165" formatCode="General\A_)"/>
    <numFmt numFmtId="166" formatCode="_(&quot;$&quot;#,##0_);\(&quot;$&quot;#,##0\);_(\-_);_(@_)"/>
    <numFmt numFmtId="167" formatCode="_(#,##0_);\(#,##0\);_(\-_);_(@_)"/>
    <numFmt numFmtId="168" formatCode="_(#,##0%_);\(#,##0%\);_(\-_);_(@_)"/>
    <numFmt numFmtId="169" formatCode="_(#,##0.0%_);\(#,##0.0%\);_(\-_);_(@_)"/>
    <numFmt numFmtId="170" formatCode="_(&quot;$&quot;#,##0.00_);\(&quot;$&quot;#,##0.00\);_(\-_);_(@_)"/>
    <numFmt numFmtId="171" formatCode="_(#,##0.0_);\(#,##0.0\);_(\-_);_(@_)"/>
    <numFmt numFmtId="172" formatCode="_(#,##0.00_);\(#,##0.00\);_(\-_);_(@_)"/>
    <numFmt numFmtId="173" formatCode="_(#,##0.000_);\(#,##0.000\);_(\-_);_(@_)"/>
    <numFmt numFmtId="174" formatCode="_(#,##0.0\x_);_(\-#,##0.0\x_);_(0.00\x_);_(@_)"/>
    <numFmt numFmtId="175" formatCode="_(#,##0.0\x_);_(\-#,##0.0\x_);_(0.0\x_);_(@_)"/>
    <numFmt numFmtId="176" formatCode="_(#,##0.00%_);\(#,##0.00%\);_(\-_);_(@_)"/>
    <numFmt numFmtId="177" formatCode="&quot;Beta&quot;;;;"/>
    <numFmt numFmtId="178" formatCode="_(#,##0.00%_);\(#,##0.00%\);_(0.00%_);_(@_)"/>
    <numFmt numFmtId="179" formatCode="[=1]&quot;No&quot;;[=2]&quot;Yes&quot;;&quot;Error&quot;"/>
    <numFmt numFmtId="180" formatCode="_(#,##0.0%_);\(#,##0.0%\);_(0.0%_);_(@_)"/>
    <numFmt numFmtId="181" formatCode="_(#,##0.00\x_);_(\-#,##0.00\x_);_(0.000\x_);_(@_)"/>
    <numFmt numFmtId="182" formatCode="0.0%"/>
    <numFmt numFmtId="183" formatCode="&quot;L+&quot;0.000%"/>
    <numFmt numFmtId="184" formatCode="_(#,##0.00\x_);_(\-#,##0.00\x_);_(0.00\x_);_(@_)"/>
  </numFmts>
  <fonts count="39" x14ac:knownFonts="1">
    <font>
      <sz val="10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8"/>
      <color theme="3"/>
      <name val="Arial"/>
      <family val="2"/>
      <scheme val="major"/>
    </font>
    <font>
      <b/>
      <sz val="15"/>
      <color theme="3"/>
      <name val="Arial"/>
      <family val="2"/>
      <scheme val="minor"/>
    </font>
    <font>
      <b/>
      <sz val="13"/>
      <color theme="3"/>
      <name val="Arial"/>
      <family val="2"/>
      <scheme val="minor"/>
    </font>
    <font>
      <b/>
      <sz val="11"/>
      <color theme="3"/>
      <name val="Arial"/>
      <family val="2"/>
      <scheme val="minor"/>
    </font>
    <font>
      <sz val="11"/>
      <color rgb="FF006100"/>
      <name val="Arial"/>
      <family val="2"/>
      <scheme val="minor"/>
    </font>
    <font>
      <sz val="11"/>
      <color rgb="FF9C0006"/>
      <name val="Arial"/>
      <family val="2"/>
      <scheme val="minor"/>
    </font>
    <font>
      <sz val="11"/>
      <color rgb="FF9C5700"/>
      <name val="Arial"/>
      <family val="2"/>
      <scheme val="minor"/>
    </font>
    <font>
      <sz val="11"/>
      <color rgb="FF3F3F76"/>
      <name val="Arial"/>
      <family val="2"/>
      <scheme val="minor"/>
    </font>
    <font>
      <b/>
      <sz val="11"/>
      <color rgb="FF3F3F3F"/>
      <name val="Arial"/>
      <family val="2"/>
      <scheme val="minor"/>
    </font>
    <font>
      <b/>
      <sz val="11"/>
      <color rgb="FFFA7D00"/>
      <name val="Arial"/>
      <family val="2"/>
      <scheme val="minor"/>
    </font>
    <font>
      <sz val="11"/>
      <color rgb="FFFA7D00"/>
      <name val="Arial"/>
      <family val="2"/>
      <scheme val="minor"/>
    </font>
    <font>
      <b/>
      <sz val="11"/>
      <color theme="0"/>
      <name val="Arial"/>
      <family val="2"/>
      <scheme val="minor"/>
    </font>
    <font>
      <sz val="11"/>
      <color rgb="FFFF0000"/>
      <name val="Arial"/>
      <family val="2"/>
      <scheme val="minor"/>
    </font>
    <font>
      <i/>
      <sz val="11"/>
      <color rgb="FF7F7F7F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color theme="0"/>
      <name val="Arial"/>
      <family val="2"/>
      <scheme val="minor"/>
    </font>
    <font>
      <sz val="10"/>
      <color theme="1"/>
      <name val="Arial"/>
      <family val="2"/>
      <scheme val="minor"/>
    </font>
    <font>
      <b/>
      <sz val="10"/>
      <color theme="1"/>
      <name val="Arial"/>
      <family val="1"/>
      <scheme val="minor"/>
    </font>
    <font>
      <sz val="10"/>
      <color theme="1"/>
      <name val="Arial"/>
      <family val="1"/>
      <scheme val="minor"/>
    </font>
    <font>
      <b/>
      <sz val="14"/>
      <color theme="1"/>
      <name val="Arial"/>
      <family val="1"/>
      <scheme val="minor"/>
    </font>
    <font>
      <i/>
      <sz val="10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sz val="10"/>
      <color rgb="FF0000FF"/>
      <name val="Arial"/>
      <family val="2"/>
      <scheme val="minor"/>
    </font>
    <font>
      <sz val="10"/>
      <color rgb="FF008000"/>
      <name val="Arial"/>
      <family val="2"/>
      <scheme val="minor"/>
    </font>
    <font>
      <sz val="10"/>
      <color theme="0"/>
      <name val="Arial"/>
      <family val="2"/>
      <scheme val="minor"/>
    </font>
    <font>
      <b/>
      <sz val="10"/>
      <color theme="0"/>
      <name val="Arial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sz val="10"/>
      <color theme="1"/>
      <name val="Arial"/>
      <family val="2"/>
      <scheme val="minor"/>
    </font>
    <font>
      <sz val="10"/>
      <name val="Arial"/>
      <family val="2"/>
      <scheme val="minor"/>
    </font>
    <font>
      <b/>
      <sz val="10"/>
      <name val="Arial"/>
      <family val="2"/>
      <scheme val="minor"/>
    </font>
    <font>
      <sz val="8"/>
      <color theme="1"/>
      <name val="Arial"/>
      <family val="2"/>
      <scheme val="minor"/>
    </font>
    <font>
      <sz val="10"/>
      <color rgb="FFFF0000"/>
      <name val="Arial"/>
      <family val="2"/>
      <scheme val="minor"/>
    </font>
    <font>
      <b/>
      <sz val="11"/>
      <color rgb="FF0000FF"/>
      <name val="Arial"/>
      <family val="2"/>
      <scheme val="minor"/>
    </font>
    <font>
      <b/>
      <sz val="10"/>
      <color rgb="FF0000FF"/>
      <name val="Arial"/>
      <family val="2"/>
      <scheme val="minor"/>
    </font>
    <font>
      <i/>
      <sz val="10"/>
      <name val="Arial"/>
      <family val="2"/>
      <scheme val="minor"/>
    </font>
  </fonts>
  <fills count="4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CC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2F2F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2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/>
      <bottom style="hair">
        <color indexed="64"/>
      </bottom>
      <diagonal/>
    </border>
    <border>
      <left style="thick">
        <color theme="0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ashed">
        <color theme="8"/>
      </left>
      <right style="dashed">
        <color theme="8"/>
      </right>
      <top style="dashed">
        <color theme="8"/>
      </top>
      <bottom style="dashed">
        <color theme="8"/>
      </bottom>
      <diagonal/>
    </border>
    <border>
      <left/>
      <right style="hair">
        <color auto="1"/>
      </right>
      <top/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</borders>
  <cellStyleXfs count="52">
    <xf numFmtId="0" fontId="0" fillId="0" borderId="0">
      <alignment vertical="center"/>
    </xf>
    <xf numFmtId="167" fontId="1" fillId="0" borderId="0" applyFont="0" applyFill="0" applyBorder="0" applyAlignment="0" applyProtection="0"/>
    <xf numFmtId="41" fontId="2" fillId="0" borderId="0" applyFont="0" applyFill="0" applyBorder="0" applyAlignment="0" applyProtection="0"/>
    <xf numFmtId="166" fontId="1" fillId="0" borderId="0" applyFont="0" applyFill="0" applyBorder="0" applyAlignment="0" applyProtection="0"/>
    <xf numFmtId="42" fontId="2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4" applyNumberFormat="0" applyAlignment="0" applyProtection="0"/>
    <xf numFmtId="0" fontId="11" fillId="6" borderId="5" applyNumberFormat="0" applyAlignment="0" applyProtection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8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8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8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8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8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175" fontId="19" fillId="0" borderId="0" applyFont="0" applyFill="0" applyBorder="0" applyAlignment="0" applyProtection="0"/>
    <xf numFmtId="169" fontId="25" fillId="0" borderId="0" applyNumberFormat="0" applyFill="0" applyBorder="0" applyAlignment="0" applyProtection="0"/>
    <xf numFmtId="169" fontId="26" fillId="0" borderId="0" applyNumberFormat="0" applyFill="0" applyBorder="0" applyAlignment="0" applyProtection="0"/>
    <xf numFmtId="169" fontId="25" fillId="33" borderId="0" applyNumberFormat="0" applyFill="0" applyBorder="0" applyAlignment="0" applyProtection="0"/>
    <xf numFmtId="168" fontId="25" fillId="33" borderId="0" applyNumberFormat="0" applyFont="0" applyBorder="0" applyAlignment="0" applyProtection="0"/>
  </cellStyleXfs>
  <cellXfs count="298">
    <xf numFmtId="0" fontId="0" fillId="0" borderId="0" xfId="0">
      <alignment vertical="center"/>
    </xf>
    <xf numFmtId="167" fontId="0" fillId="0" borderId="0" xfId="1" applyFont="1"/>
    <xf numFmtId="0" fontId="0" fillId="0" borderId="0" xfId="0">
      <alignment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0" fillId="0" borderId="0" xfId="0" applyNumberFormat="1">
      <alignment vertical="center"/>
    </xf>
    <xf numFmtId="0" fontId="0" fillId="0" borderId="0" xfId="0" applyAlignment="1"/>
    <xf numFmtId="0" fontId="0" fillId="0" borderId="11" xfId="0" applyBorder="1" applyAlignment="1"/>
    <xf numFmtId="0" fontId="22" fillId="0" borderId="11" xfId="0" applyFont="1" applyBorder="1" applyAlignment="1"/>
    <xf numFmtId="0" fontId="0" fillId="0" borderId="0" xfId="0">
      <alignment vertical="center"/>
    </xf>
    <xf numFmtId="166" fontId="0" fillId="0" borderId="0" xfId="0" applyNumberFormat="1">
      <alignment vertical="center"/>
    </xf>
    <xf numFmtId="0" fontId="27" fillId="34" borderId="0" xfId="0" applyFont="1" applyFill="1">
      <alignment vertical="center"/>
    </xf>
    <xf numFmtId="0" fontId="28" fillId="34" borderId="0" xfId="0" applyFont="1" applyFill="1">
      <alignment vertical="center"/>
    </xf>
    <xf numFmtId="0" fontId="17" fillId="0" borderId="0" xfId="0" applyFont="1">
      <alignment vertical="center"/>
    </xf>
    <xf numFmtId="0" fontId="24" fillId="35" borderId="0" xfId="0" applyFont="1" applyFill="1">
      <alignment vertical="center"/>
    </xf>
    <xf numFmtId="166" fontId="24" fillId="35" borderId="13" xfId="0" applyNumberFormat="1" applyFont="1" applyFill="1" applyBorder="1">
      <alignment vertical="center"/>
    </xf>
    <xf numFmtId="0" fontId="0" fillId="0" borderId="0" xfId="0">
      <alignment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0" fillId="0" borderId="0" xfId="0" applyNumberFormat="1">
      <alignment vertical="center"/>
    </xf>
    <xf numFmtId="0" fontId="0" fillId="0" borderId="0" xfId="0" applyAlignment="1"/>
    <xf numFmtId="0" fontId="0" fillId="0" borderId="11" xfId="0" applyBorder="1" applyAlignment="1"/>
    <xf numFmtId="0" fontId="22" fillId="0" borderId="11" xfId="0" applyFont="1" applyBorder="1" applyAlignment="1"/>
    <xf numFmtId="167" fontId="19" fillId="0" borderId="0" xfId="1" applyFont="1" applyAlignment="1">
      <alignment vertical="center"/>
    </xf>
    <xf numFmtId="0" fontId="0" fillId="0" borderId="0" xfId="0" applyFont="1">
      <alignment vertical="center"/>
    </xf>
    <xf numFmtId="167" fontId="0" fillId="0" borderId="0" xfId="0" applyNumberFormat="1">
      <alignment vertical="center"/>
    </xf>
    <xf numFmtId="171" fontId="19" fillId="0" borderId="0" xfId="1" applyNumberFormat="1" applyFont="1" applyAlignment="1">
      <alignment vertical="center"/>
    </xf>
    <xf numFmtId="167" fontId="19" fillId="0" borderId="0" xfId="1" applyNumberFormat="1" applyFont="1" applyAlignment="1">
      <alignment vertical="center"/>
    </xf>
    <xf numFmtId="173" fontId="19" fillId="0" borderId="0" xfId="1" applyNumberFormat="1" applyFont="1" applyAlignment="1">
      <alignment vertical="center"/>
    </xf>
    <xf numFmtId="167" fontId="19" fillId="0" borderId="10" xfId="1" applyFont="1" applyBorder="1" applyAlignment="1">
      <alignment horizontal="right" vertical="center"/>
    </xf>
    <xf numFmtId="171" fontId="19" fillId="0" borderId="0" xfId="1" applyNumberFormat="1" applyFont="1" applyAlignment="1">
      <alignment horizontal="right" vertical="center"/>
    </xf>
    <xf numFmtId="171" fontId="0" fillId="0" borderId="0" xfId="0" applyNumberFormat="1">
      <alignment vertical="center"/>
    </xf>
    <xf numFmtId="0" fontId="24" fillId="35" borderId="13" xfId="0" applyFont="1" applyFill="1" applyBorder="1">
      <alignment vertical="center"/>
    </xf>
    <xf numFmtId="166" fontId="24" fillId="35" borderId="13" xfId="3" applyFont="1" applyFill="1" applyBorder="1" applyAlignment="1">
      <alignment vertical="center"/>
    </xf>
    <xf numFmtId="0" fontId="24" fillId="0" borderId="0" xfId="0" applyFont="1">
      <alignment vertical="center"/>
    </xf>
    <xf numFmtId="170" fontId="25" fillId="0" borderId="0" xfId="50" applyNumberFormat="1" applyFill="1" applyAlignment="1">
      <alignment vertical="center"/>
    </xf>
    <xf numFmtId="167" fontId="25" fillId="0" borderId="0" xfId="50" applyNumberFormat="1" applyFill="1" applyAlignment="1">
      <alignment vertical="center"/>
    </xf>
    <xf numFmtId="172" fontId="25" fillId="0" borderId="0" xfId="50" applyNumberFormat="1" applyFill="1" applyAlignment="1">
      <alignment vertical="center"/>
    </xf>
    <xf numFmtId="171" fontId="25" fillId="0" borderId="0" xfId="50" applyNumberFormat="1" applyFill="1" applyAlignment="1">
      <alignment vertical="center"/>
    </xf>
    <xf numFmtId="167" fontId="0" fillId="0" borderId="0" xfId="1" applyFont="1" applyAlignment="1">
      <alignment vertical="center"/>
    </xf>
    <xf numFmtId="0" fontId="0" fillId="0" borderId="0" xfId="1" applyNumberFormat="1" applyFont="1" applyAlignment="1">
      <alignment vertical="center"/>
    </xf>
    <xf numFmtId="0" fontId="24" fillId="35" borderId="13" xfId="1" applyNumberFormat="1" applyFont="1" applyFill="1" applyBorder="1" applyAlignment="1">
      <alignment vertical="center"/>
    </xf>
    <xf numFmtId="0" fontId="31" fillId="0" borderId="0" xfId="1" applyNumberFormat="1" applyFont="1" applyAlignment="1">
      <alignment vertical="center"/>
    </xf>
    <xf numFmtId="0" fontId="0" fillId="0" borderId="0" xfId="1" applyNumberFormat="1" applyFont="1"/>
    <xf numFmtId="0" fontId="23" fillId="0" borderId="0" xfId="1" applyNumberFormat="1" applyFont="1" applyAlignment="1">
      <alignment horizontal="left" vertical="center" indent="1"/>
    </xf>
    <xf numFmtId="0" fontId="25" fillId="33" borderId="0" xfId="51" applyNumberFormat="1" applyAlignment="1">
      <alignment vertical="center"/>
    </xf>
    <xf numFmtId="14" fontId="25" fillId="33" borderId="0" xfId="51" applyNumberFormat="1" applyAlignment="1">
      <alignment vertical="center"/>
    </xf>
    <xf numFmtId="167" fontId="26" fillId="0" borderId="0" xfId="1" applyFont="1" applyAlignment="1">
      <alignment vertical="center"/>
    </xf>
    <xf numFmtId="166" fontId="26" fillId="0" borderId="0" xfId="3" applyFont="1" applyAlignment="1">
      <alignment vertical="center"/>
    </xf>
    <xf numFmtId="166" fontId="0" fillId="0" borderId="0" xfId="3" applyFont="1" applyAlignment="1">
      <alignment vertical="center"/>
    </xf>
    <xf numFmtId="168" fontId="0" fillId="0" borderId="0" xfId="5" applyFont="1" applyAlignment="1">
      <alignment vertical="center"/>
    </xf>
    <xf numFmtId="175" fontId="0" fillId="0" borderId="0" xfId="47" applyNumberFormat="1" applyFont="1" applyAlignment="1">
      <alignment vertical="center"/>
    </xf>
    <xf numFmtId="170" fontId="32" fillId="0" borderId="0" xfId="50" applyNumberFormat="1" applyFont="1" applyFill="1" applyAlignment="1">
      <alignment vertical="center"/>
    </xf>
    <xf numFmtId="175" fontId="32" fillId="0" borderId="0" xfId="47" applyNumberFormat="1" applyFont="1" applyAlignment="1">
      <alignment vertical="center"/>
    </xf>
    <xf numFmtId="167" fontId="32" fillId="0" borderId="0" xfId="1" applyFont="1" applyAlignment="1">
      <alignment vertical="center"/>
    </xf>
    <xf numFmtId="166" fontId="25" fillId="0" borderId="0" xfId="50" applyNumberFormat="1" applyFill="1" applyAlignment="1">
      <alignment vertical="center"/>
    </xf>
    <xf numFmtId="167" fontId="0" fillId="0" borderId="10" xfId="1" applyFont="1" applyBorder="1" applyAlignment="1">
      <alignment horizontal="right" vertical="center"/>
    </xf>
    <xf numFmtId="167" fontId="23" fillId="0" borderId="0" xfId="1" applyFont="1" applyBorder="1" applyAlignment="1">
      <alignment horizontal="right" vertical="center"/>
    </xf>
    <xf numFmtId="176" fontId="25" fillId="33" borderId="0" xfId="50" applyNumberFormat="1" applyFill="1" applyAlignment="1">
      <alignment vertical="center"/>
    </xf>
    <xf numFmtId="167" fontId="26" fillId="0" borderId="0" xfId="49" applyNumberFormat="1" applyFill="1" applyAlignment="1">
      <alignment vertical="center"/>
    </xf>
    <xf numFmtId="166" fontId="26" fillId="0" borderId="0" xfId="3" applyFont="1" applyFill="1" applyAlignment="1">
      <alignment vertical="center"/>
    </xf>
    <xf numFmtId="0" fontId="0" fillId="37" borderId="0" xfId="0" applyFont="1" applyFill="1">
      <alignment vertical="center"/>
    </xf>
    <xf numFmtId="0" fontId="27" fillId="39" borderId="0" xfId="0" applyFont="1" applyFill="1">
      <alignment vertical="center"/>
    </xf>
    <xf numFmtId="168" fontId="32" fillId="0" borderId="0" xfId="5" applyFont="1" applyFill="1" applyAlignment="1">
      <alignment vertical="center"/>
    </xf>
    <xf numFmtId="0" fontId="28" fillId="34" borderId="0" xfId="1" applyNumberFormat="1" applyFont="1" applyFill="1" applyAlignment="1">
      <alignment vertical="center"/>
    </xf>
    <xf numFmtId="167" fontId="28" fillId="34" borderId="0" xfId="1" applyFont="1" applyFill="1" applyAlignment="1">
      <alignment vertical="center"/>
    </xf>
    <xf numFmtId="0" fontId="17" fillId="0" borderId="0" xfId="0" applyFont="1" applyAlignment="1"/>
    <xf numFmtId="167" fontId="24" fillId="37" borderId="0" xfId="1" applyFont="1" applyFill="1" applyAlignment="1">
      <alignment vertical="center"/>
    </xf>
    <xf numFmtId="0" fontId="28" fillId="36" borderId="0" xfId="0" applyFont="1" applyFill="1">
      <alignment vertical="center"/>
    </xf>
    <xf numFmtId="0" fontId="24" fillId="35" borderId="14" xfId="0" applyFont="1" applyFill="1" applyBorder="1">
      <alignment vertical="center"/>
    </xf>
    <xf numFmtId="0" fontId="0" fillId="35" borderId="14" xfId="0" applyFill="1" applyBorder="1">
      <alignment vertical="center"/>
    </xf>
    <xf numFmtId="167" fontId="24" fillId="35" borderId="14" xfId="1" applyFont="1" applyFill="1" applyBorder="1" applyAlignment="1">
      <alignment horizontal="right" vertical="center" indent="1"/>
    </xf>
    <xf numFmtId="168" fontId="25" fillId="0" borderId="0" xfId="50" applyNumberFormat="1" applyFill="1" applyAlignment="1">
      <alignment horizontal="right" vertical="center" indent="1"/>
    </xf>
    <xf numFmtId="173" fontId="25" fillId="0" borderId="0" xfId="50" applyNumberFormat="1" applyFill="1" applyAlignment="1">
      <alignment horizontal="right" vertical="center" indent="1"/>
    </xf>
    <xf numFmtId="173" fontId="0" fillId="0" borderId="0" xfId="1" applyNumberFormat="1" applyFont="1" applyAlignment="1">
      <alignment horizontal="right" vertical="center" indent="1"/>
    </xf>
    <xf numFmtId="168" fontId="28" fillId="36" borderId="0" xfId="5" applyFont="1" applyFill="1" applyAlignment="1">
      <alignment horizontal="right" vertical="center" indent="1"/>
    </xf>
    <xf numFmtId="173" fontId="28" fillId="36" borderId="0" xfId="50" applyNumberFormat="1" applyFont="1" applyFill="1" applyAlignment="1">
      <alignment horizontal="right" vertical="center" indent="1"/>
    </xf>
    <xf numFmtId="173" fontId="28" fillId="36" borderId="0" xfId="1" applyNumberFormat="1" applyFont="1" applyFill="1" applyAlignment="1">
      <alignment horizontal="right" vertical="center" indent="1"/>
    </xf>
    <xf numFmtId="0" fontId="0" fillId="0" borderId="0" xfId="0" applyAlignment="1">
      <alignment horizontal="right" vertical="center" indent="1"/>
    </xf>
    <xf numFmtId="169" fontId="0" fillId="0" borderId="0" xfId="5" applyNumberFormat="1" applyFont="1" applyAlignment="1">
      <alignment vertical="center"/>
    </xf>
    <xf numFmtId="176" fontId="0" fillId="0" borderId="0" xfId="5" applyNumberFormat="1" applyFont="1" applyAlignment="1">
      <alignment vertical="center"/>
    </xf>
    <xf numFmtId="0" fontId="0" fillId="0" borderId="0" xfId="0" applyAlignment="1">
      <alignment vertical="center"/>
    </xf>
    <xf numFmtId="168" fontId="25" fillId="33" borderId="0" xfId="5" applyFont="1" applyFill="1" applyAlignment="1">
      <alignment vertical="center"/>
    </xf>
    <xf numFmtId="0" fontId="0" fillId="0" borderId="0" xfId="0" applyNumberFormat="1" applyAlignment="1">
      <alignment vertical="center"/>
    </xf>
    <xf numFmtId="0" fontId="28" fillId="39" borderId="0" xfId="1" applyNumberFormat="1" applyFont="1" applyFill="1" applyAlignment="1">
      <alignment vertical="center"/>
    </xf>
    <xf numFmtId="0" fontId="28" fillId="38" borderId="0" xfId="0" applyFont="1" applyFill="1">
      <alignment vertical="center"/>
    </xf>
    <xf numFmtId="0" fontId="28" fillId="39" borderId="0" xfId="0" applyFont="1" applyFill="1">
      <alignment vertical="center"/>
    </xf>
    <xf numFmtId="168" fontId="24" fillId="35" borderId="0" xfId="0" applyNumberFormat="1" applyFont="1" applyFill="1" applyAlignment="1">
      <alignment horizontal="right" vertical="center" indent="1"/>
    </xf>
    <xf numFmtId="173" fontId="24" fillId="35" borderId="0" xfId="0" applyNumberFormat="1" applyFont="1" applyFill="1" applyAlignment="1">
      <alignment horizontal="right" vertical="center" indent="1"/>
    </xf>
    <xf numFmtId="0" fontId="0" fillId="0" borderId="0" xfId="0" applyBorder="1" applyAlignment="1">
      <alignment horizontal="centerContinuous" vertical="center"/>
    </xf>
    <xf numFmtId="0" fontId="0" fillId="0" borderId="0" xfId="0" applyBorder="1" applyAlignment="1">
      <alignment horizontal="centerContinuous" vertical="center" wrapText="1"/>
    </xf>
    <xf numFmtId="9" fontId="25" fillId="0" borderId="0" xfId="50" applyNumberFormat="1" applyFill="1" applyAlignment="1">
      <alignment vertical="center"/>
    </xf>
    <xf numFmtId="173" fontId="25" fillId="0" borderId="0" xfId="50" applyNumberFormat="1" applyFill="1" applyBorder="1" applyAlignment="1">
      <alignment vertical="center"/>
    </xf>
    <xf numFmtId="0" fontId="24" fillId="0" borderId="0" xfId="0" applyFont="1" applyBorder="1" applyAlignment="1">
      <alignment horizontal="center" vertical="center"/>
    </xf>
    <xf numFmtId="173" fontId="19" fillId="0" borderId="20" xfId="1" applyNumberFormat="1" applyFont="1" applyBorder="1" applyAlignment="1">
      <alignment horizontal="right" vertical="center" indent="1"/>
    </xf>
    <xf numFmtId="173" fontId="19" fillId="0" borderId="18" xfId="1" applyNumberFormat="1" applyFont="1" applyBorder="1" applyAlignment="1">
      <alignment horizontal="right" vertical="center" indent="1"/>
    </xf>
    <xf numFmtId="168" fontId="19" fillId="0" borderId="19" xfId="5" applyFont="1" applyBorder="1" applyAlignment="1">
      <alignment horizontal="center" vertical="center"/>
    </xf>
    <xf numFmtId="168" fontId="19" fillId="0" borderId="10" xfId="5" applyFont="1" applyBorder="1" applyAlignment="1">
      <alignment horizontal="center" vertical="center"/>
    </xf>
    <xf numFmtId="0" fontId="24" fillId="0" borderId="0" xfId="0" applyFont="1" applyBorder="1" applyAlignment="1">
      <alignment horizontal="centerContinuous" vertical="center"/>
    </xf>
    <xf numFmtId="167" fontId="34" fillId="0" borderId="15" xfId="1" applyFont="1" applyBorder="1" applyAlignment="1">
      <alignment horizontal="centerContinuous" vertical="center"/>
    </xf>
    <xf numFmtId="177" fontId="24" fillId="0" borderId="17" xfId="0" applyNumberFormat="1" applyFont="1" applyBorder="1" applyAlignment="1">
      <alignment horizontal="center" vertical="center"/>
    </xf>
    <xf numFmtId="167" fontId="25" fillId="0" borderId="0" xfId="1" applyFont="1" applyFill="1" applyAlignment="1">
      <alignment horizontal="right" vertical="center" indent="1"/>
    </xf>
    <xf numFmtId="166" fontId="28" fillId="36" borderId="0" xfId="3" applyFont="1" applyFill="1" applyAlignment="1">
      <alignment horizontal="right" vertical="center" indent="1"/>
    </xf>
    <xf numFmtId="166" fontId="25" fillId="0" borderId="0" xfId="3" applyFont="1" applyFill="1" applyAlignment="1">
      <alignment horizontal="right" vertical="center" indent="1"/>
    </xf>
    <xf numFmtId="178" fontId="0" fillId="35" borderId="0" xfId="0" applyNumberFormat="1" applyFill="1">
      <alignment vertical="center"/>
    </xf>
    <xf numFmtId="178" fontId="0" fillId="0" borderId="0" xfId="0" applyNumberFormat="1">
      <alignment vertical="center"/>
    </xf>
    <xf numFmtId="166" fontId="32" fillId="0" borderId="0" xfId="3" applyFont="1" applyFill="1" applyAlignment="1">
      <alignment horizontal="right" vertical="center" indent="1"/>
    </xf>
    <xf numFmtId="173" fontId="32" fillId="0" borderId="0" xfId="1" applyNumberFormat="1" applyFont="1" applyFill="1" applyBorder="1" applyAlignment="1">
      <alignment vertical="center"/>
    </xf>
    <xf numFmtId="168" fontId="32" fillId="0" borderId="0" xfId="5" applyNumberFormat="1" applyFont="1" applyFill="1" applyAlignment="1">
      <alignment vertical="center"/>
    </xf>
    <xf numFmtId="0" fontId="0" fillId="0" borderId="0" xfId="1" applyNumberFormat="1" applyFont="1" applyAlignment="1">
      <alignment horizontal="left" vertical="center"/>
    </xf>
    <xf numFmtId="167" fontId="32" fillId="0" borderId="0" xfId="1" applyFont="1" applyFill="1" applyAlignment="1">
      <alignment horizontal="right" vertical="center" indent="1"/>
    </xf>
    <xf numFmtId="176" fontId="26" fillId="0" borderId="0" xfId="49" applyNumberFormat="1" applyAlignment="1">
      <alignment vertical="center"/>
    </xf>
    <xf numFmtId="173" fontId="33" fillId="40" borderId="21" xfId="50" applyNumberFormat="1" applyFont="1" applyFill="1" applyBorder="1" applyAlignment="1">
      <alignment vertical="center"/>
    </xf>
    <xf numFmtId="173" fontId="32" fillId="0" borderId="18" xfId="1" applyNumberFormat="1" applyFont="1" applyBorder="1" applyAlignment="1">
      <alignment horizontal="right" vertical="center" indent="1"/>
    </xf>
    <xf numFmtId="168" fontId="32" fillId="0" borderId="10" xfId="5" applyFont="1" applyBorder="1" applyAlignment="1">
      <alignment horizontal="center" vertical="center"/>
    </xf>
    <xf numFmtId="165" fontId="24" fillId="0" borderId="10" xfId="0" applyNumberFormat="1" applyFont="1" applyBorder="1" applyAlignment="1">
      <alignment vertical="center"/>
    </xf>
    <xf numFmtId="164" fontId="24" fillId="0" borderId="10" xfId="0" applyNumberFormat="1" applyFont="1" applyBorder="1" applyAlignment="1">
      <alignment vertical="center"/>
    </xf>
    <xf numFmtId="0" fontId="24" fillId="0" borderId="0" xfId="1" applyNumberFormat="1" applyFont="1" applyAlignment="1">
      <alignment vertical="center"/>
    </xf>
    <xf numFmtId="0" fontId="24" fillId="0" borderId="0" xfId="0" applyFont="1" applyAlignment="1">
      <alignment vertical="center"/>
    </xf>
    <xf numFmtId="0" fontId="0" fillId="0" borderId="12" xfId="1" applyNumberFormat="1" applyFont="1" applyBorder="1" applyAlignment="1">
      <alignment vertical="center"/>
    </xf>
    <xf numFmtId="0" fontId="0" fillId="0" borderId="12" xfId="0" applyBorder="1" applyAlignment="1">
      <alignment vertical="center"/>
    </xf>
    <xf numFmtId="167" fontId="0" fillId="0" borderId="12" xfId="1" applyFont="1" applyBorder="1" applyAlignment="1">
      <alignment vertical="center"/>
    </xf>
    <xf numFmtId="168" fontId="25" fillId="33" borderId="0" xfId="51" applyFont="1" applyAlignment="1">
      <alignment vertical="center"/>
    </xf>
    <xf numFmtId="0" fontId="24" fillId="35" borderId="13" xfId="0" applyFont="1" applyFill="1" applyBorder="1" applyAlignment="1">
      <alignment vertical="center"/>
    </xf>
    <xf numFmtId="166" fontId="0" fillId="0" borderId="0" xfId="0" applyNumberFormat="1" applyAlignment="1">
      <alignment vertical="center"/>
    </xf>
    <xf numFmtId="166" fontId="24" fillId="35" borderId="13" xfId="0" applyNumberFormat="1" applyFont="1" applyFill="1" applyBorder="1" applyAlignment="1">
      <alignment vertical="center"/>
    </xf>
    <xf numFmtId="166" fontId="0" fillId="0" borderId="12" xfId="0" applyNumberFormat="1" applyBorder="1" applyAlignment="1">
      <alignment vertical="center"/>
    </xf>
    <xf numFmtId="0" fontId="23" fillId="0" borderId="0" xfId="0" applyFont="1">
      <alignment vertical="center"/>
    </xf>
    <xf numFmtId="173" fontId="23" fillId="0" borderId="0" xfId="1" applyNumberFormat="1" applyFont="1" applyAlignment="1">
      <alignment vertical="center"/>
    </xf>
    <xf numFmtId="5" fontId="0" fillId="0" borderId="0" xfId="0" applyNumberFormat="1">
      <alignment vertical="center"/>
    </xf>
    <xf numFmtId="5" fontId="0" fillId="0" borderId="0" xfId="0" applyNumberFormat="1" applyBorder="1">
      <alignment vertical="center"/>
    </xf>
    <xf numFmtId="5" fontId="24" fillId="35" borderId="13" xfId="0" applyNumberFormat="1" applyFont="1" applyFill="1" applyBorder="1">
      <alignment vertical="center"/>
    </xf>
    <xf numFmtId="170" fontId="24" fillId="35" borderId="13" xfId="3" applyNumberFormat="1" applyFont="1" applyFill="1" applyBorder="1" applyAlignment="1">
      <alignment vertical="center"/>
    </xf>
    <xf numFmtId="173" fontId="23" fillId="0" borderId="0" xfId="1" applyNumberFormat="1" applyFont="1" applyBorder="1" applyAlignment="1">
      <alignment vertical="center"/>
    </xf>
    <xf numFmtId="0" fontId="0" fillId="0" borderId="0" xfId="0" applyBorder="1" applyAlignment="1">
      <alignment vertical="center"/>
    </xf>
    <xf numFmtId="169" fontId="0" fillId="0" borderId="0" xfId="5" applyNumberFormat="1" applyFont="1" applyBorder="1" applyAlignment="1">
      <alignment vertical="center"/>
    </xf>
    <xf numFmtId="167" fontId="0" fillId="0" borderId="0" xfId="1" applyFont="1" applyBorder="1" applyAlignment="1">
      <alignment vertical="center"/>
    </xf>
    <xf numFmtId="168" fontId="0" fillId="0" borderId="0" xfId="5" applyFont="1" applyBorder="1" applyAlignment="1">
      <alignment vertical="center"/>
    </xf>
    <xf numFmtId="166" fontId="0" fillId="0" borderId="0" xfId="0" applyNumberFormat="1" applyBorder="1" applyAlignment="1">
      <alignment vertical="center"/>
    </xf>
    <xf numFmtId="0" fontId="0" fillId="0" borderId="0" xfId="0" applyBorder="1">
      <alignment vertical="center"/>
    </xf>
    <xf numFmtId="165" fontId="24" fillId="0" borderId="23" xfId="0" applyNumberFormat="1" applyFont="1" applyBorder="1" applyAlignment="1">
      <alignment vertical="center"/>
    </xf>
    <xf numFmtId="0" fontId="0" fillId="0" borderId="22" xfId="0" applyBorder="1" applyAlignment="1">
      <alignment vertical="center"/>
    </xf>
    <xf numFmtId="169" fontId="0" fillId="0" borderId="22" xfId="5" applyNumberFormat="1" applyFont="1" applyBorder="1" applyAlignment="1">
      <alignment vertical="center"/>
    </xf>
    <xf numFmtId="167" fontId="0" fillId="0" borderId="22" xfId="1" applyFont="1" applyBorder="1" applyAlignment="1">
      <alignment vertical="center"/>
    </xf>
    <xf numFmtId="167" fontId="0" fillId="0" borderId="24" xfId="1" applyFont="1" applyBorder="1" applyAlignment="1">
      <alignment vertical="center"/>
    </xf>
    <xf numFmtId="168" fontId="0" fillId="0" borderId="22" xfId="5" applyFont="1" applyBorder="1" applyAlignment="1">
      <alignment vertical="center"/>
    </xf>
    <xf numFmtId="166" fontId="0" fillId="0" borderId="24" xfId="0" applyNumberForma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166" fontId="24" fillId="35" borderId="25" xfId="0" applyNumberFormat="1" applyFont="1" applyFill="1" applyBorder="1" applyAlignment="1">
      <alignment vertical="center"/>
    </xf>
    <xf numFmtId="0" fontId="23" fillId="0" borderId="22" xfId="0" applyFont="1" applyBorder="1">
      <alignment vertical="center"/>
    </xf>
    <xf numFmtId="179" fontId="25" fillId="33" borderId="0" xfId="1" applyNumberFormat="1" applyFont="1" applyFill="1" applyAlignment="1">
      <alignment horizontal="center" vertical="center"/>
    </xf>
    <xf numFmtId="166" fontId="33" fillId="35" borderId="13" xfId="0" applyNumberFormat="1" applyFont="1" applyFill="1" applyBorder="1" applyAlignment="1">
      <alignment vertical="center"/>
    </xf>
    <xf numFmtId="0" fontId="24" fillId="0" borderId="0" xfId="1" applyNumberFormat="1" applyFont="1" applyFill="1" applyBorder="1" applyAlignment="1">
      <alignment vertical="center"/>
    </xf>
    <xf numFmtId="0" fontId="24" fillId="0" borderId="0" xfId="0" applyFont="1" applyFill="1" applyBorder="1" applyAlignment="1">
      <alignment vertical="center"/>
    </xf>
    <xf numFmtId="166" fontId="24" fillId="0" borderId="0" xfId="0" applyNumberFormat="1" applyFont="1" applyFill="1" applyBorder="1" applyAlignment="1">
      <alignment vertical="center"/>
    </xf>
    <xf numFmtId="166" fontId="24" fillId="0" borderId="22" xfId="0" applyNumberFormat="1" applyFont="1" applyFill="1" applyBorder="1" applyAlignment="1">
      <alignment vertical="center"/>
    </xf>
    <xf numFmtId="166" fontId="33" fillId="0" borderId="0" xfId="0" applyNumberFormat="1" applyFont="1" applyFill="1" applyBorder="1" applyAlignment="1">
      <alignment vertical="center"/>
    </xf>
    <xf numFmtId="0" fontId="0" fillId="0" borderId="0" xfId="0" applyFont="1" applyFill="1" applyBorder="1">
      <alignment vertical="center"/>
    </xf>
    <xf numFmtId="0" fontId="23" fillId="0" borderId="0" xfId="0" applyFont="1" applyBorder="1">
      <alignment vertical="center"/>
    </xf>
    <xf numFmtId="175" fontId="0" fillId="0" borderId="0" xfId="47" applyFont="1" applyAlignment="1">
      <alignment vertical="center"/>
    </xf>
    <xf numFmtId="174" fontId="0" fillId="0" borderId="0" xfId="47" applyNumberFormat="1" applyFont="1" applyAlignment="1">
      <alignment vertical="center"/>
    </xf>
    <xf numFmtId="2" fontId="0" fillId="0" borderId="0" xfId="1" applyNumberFormat="1" applyFont="1" applyAlignment="1">
      <alignment horizontal="center" vertical="center"/>
    </xf>
    <xf numFmtId="174" fontId="25" fillId="33" borderId="0" xfId="50" applyNumberFormat="1" applyAlignment="1">
      <alignment horizontal="right" vertical="center"/>
    </xf>
    <xf numFmtId="176" fontId="25" fillId="33" borderId="0" xfId="50" applyNumberFormat="1" applyAlignment="1">
      <alignment horizontal="right" vertical="center"/>
    </xf>
    <xf numFmtId="181" fontId="0" fillId="0" borderId="0" xfId="47" applyNumberFormat="1" applyFont="1" applyAlignment="1">
      <alignment vertical="center"/>
    </xf>
    <xf numFmtId="0" fontId="21" fillId="0" borderId="0" xfId="0" applyFont="1" applyAlignment="1"/>
    <xf numFmtId="0" fontId="0" fillId="35" borderId="0" xfId="0" applyFill="1">
      <alignment vertical="center"/>
    </xf>
    <xf numFmtId="0" fontId="24" fillId="35" borderId="12" xfId="0" applyFont="1" applyFill="1" applyBorder="1">
      <alignment vertical="center"/>
    </xf>
    <xf numFmtId="0" fontId="25" fillId="33" borderId="0" xfId="50" applyNumberFormat="1" applyAlignment="1">
      <alignment vertical="center"/>
    </xf>
    <xf numFmtId="0" fontId="0" fillId="0" borderId="0" xfId="0" applyAlignment="1">
      <alignment horizontal="right" vertical="center"/>
    </xf>
    <xf numFmtId="0" fontId="24" fillId="0" borderId="0" xfId="0" applyFont="1" applyAlignment="1">
      <alignment horizontal="right" vertical="center"/>
    </xf>
    <xf numFmtId="0" fontId="24" fillId="0" borderId="10" xfId="0" applyFont="1" applyBorder="1" applyAlignment="1">
      <alignment horizontal="right" vertical="center"/>
    </xf>
    <xf numFmtId="167" fontId="25" fillId="33" borderId="0" xfId="51" applyNumberFormat="1" applyAlignment="1">
      <alignment vertical="center"/>
    </xf>
    <xf numFmtId="166" fontId="25" fillId="33" borderId="0" xfId="50" applyNumberFormat="1" applyFill="1" applyAlignment="1">
      <alignment vertical="center"/>
    </xf>
    <xf numFmtId="167" fontId="24" fillId="35" borderId="12" xfId="0" applyNumberFormat="1" applyFont="1" applyFill="1" applyBorder="1">
      <alignment vertical="center"/>
    </xf>
    <xf numFmtId="166" fontId="24" fillId="35" borderId="12" xfId="3" applyFont="1" applyFill="1" applyBorder="1" applyAlignment="1">
      <alignment vertical="center"/>
    </xf>
    <xf numFmtId="0" fontId="28" fillId="41" borderId="0" xfId="0" applyFont="1" applyFill="1">
      <alignment vertical="center"/>
    </xf>
    <xf numFmtId="168" fontId="24" fillId="35" borderId="12" xfId="0" applyNumberFormat="1" applyFont="1" applyFill="1" applyBorder="1">
      <alignment vertical="center"/>
    </xf>
    <xf numFmtId="9" fontId="0" fillId="0" borderId="0" xfId="0" applyNumberFormat="1">
      <alignment vertical="center"/>
    </xf>
    <xf numFmtId="9" fontId="25" fillId="33" borderId="0" xfId="51" applyNumberFormat="1" applyAlignment="1">
      <alignment vertical="center"/>
    </xf>
    <xf numFmtId="168" fontId="25" fillId="33" borderId="0" xfId="50" applyNumberFormat="1" applyFill="1" applyAlignment="1">
      <alignment vertical="center"/>
    </xf>
    <xf numFmtId="164" fontId="0" fillId="0" borderId="0" xfId="0" applyNumberFormat="1">
      <alignment vertical="center"/>
    </xf>
    <xf numFmtId="164" fontId="24" fillId="0" borderId="0" xfId="0" applyNumberFormat="1" applyFont="1">
      <alignment vertical="center"/>
    </xf>
    <xf numFmtId="167" fontId="26" fillId="0" borderId="0" xfId="49" applyNumberFormat="1" applyAlignment="1">
      <alignment vertical="center"/>
    </xf>
    <xf numFmtId="169" fontId="25" fillId="33" borderId="0" xfId="51" applyNumberFormat="1" applyAlignment="1">
      <alignment vertical="center"/>
    </xf>
    <xf numFmtId="182" fontId="25" fillId="33" borderId="0" xfId="50" applyNumberFormat="1" applyAlignment="1">
      <alignment vertical="center"/>
    </xf>
    <xf numFmtId="182" fontId="0" fillId="0" borderId="0" xfId="0" applyNumberFormat="1">
      <alignment vertical="center"/>
    </xf>
    <xf numFmtId="182" fontId="32" fillId="0" borderId="0" xfId="50" applyNumberFormat="1" applyFont="1" applyFill="1" applyAlignment="1">
      <alignment vertical="center"/>
    </xf>
    <xf numFmtId="166" fontId="26" fillId="0" borderId="0" xfId="49" applyNumberFormat="1" applyAlignment="1">
      <alignment vertical="center"/>
    </xf>
    <xf numFmtId="166" fontId="24" fillId="0" borderId="12" xfId="3" applyFont="1" applyBorder="1" applyAlignment="1">
      <alignment vertical="center"/>
    </xf>
    <xf numFmtId="166" fontId="0" fillId="0" borderId="12" xfId="3" applyFont="1" applyBorder="1" applyAlignment="1">
      <alignment vertical="center"/>
    </xf>
    <xf numFmtId="0" fontId="33" fillId="35" borderId="12" xfId="0" applyFont="1" applyFill="1" applyBorder="1">
      <alignment vertical="center"/>
    </xf>
    <xf numFmtId="0" fontId="32" fillId="35" borderId="12" xfId="0" applyFont="1" applyFill="1" applyBorder="1">
      <alignment vertical="center"/>
    </xf>
    <xf numFmtId="166" fontId="33" fillId="35" borderId="12" xfId="3" applyFont="1" applyFill="1" applyBorder="1" applyAlignment="1">
      <alignment vertical="center"/>
    </xf>
    <xf numFmtId="0" fontId="0" fillId="35" borderId="12" xfId="0" applyFill="1" applyBorder="1">
      <alignment vertical="center"/>
    </xf>
    <xf numFmtId="166" fontId="0" fillId="35" borderId="0" xfId="3" applyFont="1" applyFill="1" applyAlignment="1">
      <alignment vertical="center"/>
    </xf>
    <xf numFmtId="0" fontId="24" fillId="0" borderId="0" xfId="0" applyFont="1" applyBorder="1">
      <alignment vertical="center"/>
    </xf>
    <xf numFmtId="0" fontId="0" fillId="0" borderId="0" xfId="0" applyFill="1" applyBorder="1">
      <alignment vertical="center"/>
    </xf>
    <xf numFmtId="0" fontId="0" fillId="0" borderId="0" xfId="0" applyFont="1" applyBorder="1">
      <alignment vertical="center"/>
    </xf>
    <xf numFmtId="170" fontId="25" fillId="33" borderId="0" xfId="3" applyNumberFormat="1" applyFont="1" applyFill="1" applyAlignment="1">
      <alignment vertical="center"/>
    </xf>
    <xf numFmtId="7" fontId="0" fillId="0" borderId="0" xfId="0" applyNumberFormat="1">
      <alignment vertical="center"/>
    </xf>
    <xf numFmtId="172" fontId="0" fillId="0" borderId="0" xfId="1" applyNumberFormat="1" applyFont="1" applyAlignment="1">
      <alignment vertical="center"/>
    </xf>
    <xf numFmtId="0" fontId="0" fillId="35" borderId="0" xfId="0" applyFont="1" applyFill="1">
      <alignment vertical="center"/>
    </xf>
    <xf numFmtId="166" fontId="26" fillId="35" borderId="0" xfId="49" applyNumberFormat="1" applyFont="1" applyFill="1" applyAlignment="1">
      <alignment vertical="center"/>
    </xf>
    <xf numFmtId="166" fontId="25" fillId="35" borderId="0" xfId="50" applyNumberFormat="1" applyFill="1" applyAlignment="1">
      <alignment vertical="center"/>
    </xf>
    <xf numFmtId="171" fontId="19" fillId="0" borderId="0" xfId="1" applyNumberFormat="1" applyFont="1" applyBorder="1" applyAlignment="1">
      <alignment vertical="center"/>
    </xf>
    <xf numFmtId="171" fontId="25" fillId="33" borderId="0" xfId="50" applyNumberFormat="1" applyBorder="1" applyAlignment="1">
      <alignment vertical="center"/>
    </xf>
    <xf numFmtId="171" fontId="26" fillId="0" borderId="0" xfId="49" applyNumberFormat="1" applyBorder="1" applyAlignment="1">
      <alignment vertical="center"/>
    </xf>
    <xf numFmtId="0" fontId="0" fillId="0" borderId="12" xfId="0" applyFont="1" applyBorder="1">
      <alignment vertical="center"/>
    </xf>
    <xf numFmtId="167" fontId="24" fillId="35" borderId="12" xfId="1" applyFont="1" applyFill="1" applyBorder="1" applyAlignment="1">
      <alignment vertical="center"/>
    </xf>
    <xf numFmtId="0" fontId="27" fillId="36" borderId="0" xfId="0" applyFont="1" applyFill="1" applyAlignment="1">
      <alignment horizontal="right" vertical="center"/>
    </xf>
    <xf numFmtId="166" fontId="32" fillId="0" borderId="0" xfId="3" applyFont="1" applyFill="1" applyAlignment="1">
      <alignment vertical="center"/>
    </xf>
    <xf numFmtId="0" fontId="24" fillId="40" borderId="12" xfId="0" applyFont="1" applyFill="1" applyBorder="1">
      <alignment vertical="center"/>
    </xf>
    <xf numFmtId="170" fontId="24" fillId="40" borderId="12" xfId="3" applyNumberFormat="1" applyFont="1" applyFill="1" applyBorder="1" applyAlignment="1">
      <alignment vertical="center"/>
    </xf>
    <xf numFmtId="0" fontId="24" fillId="40" borderId="10" xfId="0" applyFont="1" applyFill="1" applyBorder="1">
      <alignment vertical="center"/>
    </xf>
    <xf numFmtId="170" fontId="24" fillId="40" borderId="10" xfId="3" applyNumberFormat="1" applyFont="1" applyFill="1" applyBorder="1" applyAlignment="1">
      <alignment vertical="center"/>
    </xf>
    <xf numFmtId="169" fontId="24" fillId="40" borderId="10" xfId="5" applyNumberFormat="1" applyFont="1" applyFill="1" applyBorder="1" applyAlignment="1">
      <alignment vertical="center"/>
    </xf>
    <xf numFmtId="0" fontId="0" fillId="40" borderId="0" xfId="0" applyFont="1" applyFill="1" applyBorder="1">
      <alignment vertical="center"/>
    </xf>
    <xf numFmtId="170" fontId="19" fillId="40" borderId="0" xfId="3" applyNumberFormat="1" applyFont="1" applyFill="1" applyBorder="1" applyAlignment="1">
      <alignment vertical="center"/>
    </xf>
    <xf numFmtId="5" fontId="19" fillId="40" borderId="0" xfId="3" applyNumberFormat="1" applyFont="1" applyFill="1" applyBorder="1" applyAlignment="1">
      <alignment horizontal="right" vertical="center"/>
    </xf>
    <xf numFmtId="167" fontId="19" fillId="40" borderId="0" xfId="1" applyNumberFormat="1" applyFont="1" applyFill="1" applyBorder="1" applyAlignment="1">
      <alignment horizontal="right" vertical="center"/>
    </xf>
    <xf numFmtId="0" fontId="24" fillId="0" borderId="12" xfId="3" applyNumberFormat="1" applyFont="1" applyBorder="1" applyAlignment="1">
      <alignment vertical="center"/>
    </xf>
    <xf numFmtId="167" fontId="25" fillId="33" borderId="0" xfId="1" applyFont="1" applyFill="1" applyAlignment="1">
      <alignment vertical="center"/>
    </xf>
    <xf numFmtId="168" fontId="26" fillId="0" borderId="0" xfId="5" applyFont="1" applyAlignment="1">
      <alignment vertical="center"/>
    </xf>
    <xf numFmtId="170" fontId="32" fillId="0" borderId="0" xfId="3" applyNumberFormat="1" applyFont="1" applyFill="1" applyAlignment="1">
      <alignment vertical="center"/>
    </xf>
    <xf numFmtId="180" fontId="25" fillId="33" borderId="0" xfId="50" applyNumberFormat="1" applyAlignment="1">
      <alignment vertical="center"/>
    </xf>
    <xf numFmtId="0" fontId="0" fillId="0" borderId="0" xfId="0" applyAlignment="1">
      <alignment horizontal="left"/>
    </xf>
    <xf numFmtId="167" fontId="25" fillId="33" borderId="0" xfId="1" applyNumberFormat="1" applyFont="1" applyFill="1" applyAlignment="1">
      <alignment vertical="center"/>
    </xf>
    <xf numFmtId="166" fontId="25" fillId="33" borderId="0" xfId="3" applyFont="1" applyFill="1" applyAlignment="1">
      <alignment horizontal="right" vertical="center"/>
    </xf>
    <xf numFmtId="169" fontId="25" fillId="33" borderId="0" xfId="50" applyNumberFormat="1" applyFill="1" applyAlignment="1">
      <alignment vertical="center"/>
    </xf>
    <xf numFmtId="183" fontId="25" fillId="33" borderId="0" xfId="50" applyNumberFormat="1" applyFill="1" applyAlignment="1">
      <alignment horizontal="center" vertical="center"/>
    </xf>
    <xf numFmtId="10" fontId="0" fillId="0" borderId="0" xfId="0" applyNumberFormat="1" applyAlignment="1">
      <alignment horizontal="right" vertical="center"/>
    </xf>
    <xf numFmtId="0" fontId="0" fillId="0" borderId="0" xfId="0" applyAlignment="1">
      <alignment horizontal="center" vertical="center"/>
    </xf>
    <xf numFmtId="0" fontId="28" fillId="36" borderId="0" xfId="1" applyNumberFormat="1" applyFont="1" applyFill="1" applyAlignment="1">
      <alignment vertical="center"/>
    </xf>
    <xf numFmtId="0" fontId="27" fillId="36" borderId="0" xfId="0" applyFont="1" applyFill="1">
      <alignment vertical="center"/>
    </xf>
    <xf numFmtId="170" fontId="26" fillId="0" borderId="0" xfId="49" applyNumberFormat="1" applyFill="1" applyAlignment="1">
      <alignment vertical="center"/>
    </xf>
    <xf numFmtId="170" fontId="0" fillId="0" borderId="0" xfId="3" applyNumberFormat="1" applyFont="1" applyAlignment="1">
      <alignment vertical="center"/>
    </xf>
    <xf numFmtId="174" fontId="0" fillId="0" borderId="0" xfId="0" applyNumberFormat="1">
      <alignment vertical="center"/>
    </xf>
    <xf numFmtId="174" fontId="25" fillId="33" borderId="0" xfId="47" applyNumberFormat="1" applyFont="1" applyFill="1" applyAlignment="1">
      <alignment vertical="center"/>
    </xf>
    <xf numFmtId="168" fontId="27" fillId="36" borderId="0" xfId="5" applyFont="1" applyFill="1" applyAlignment="1">
      <alignment horizontal="right" vertical="center"/>
    </xf>
    <xf numFmtId="175" fontId="27" fillId="36" borderId="0" xfId="47" applyFont="1" applyFill="1" applyAlignment="1">
      <alignment horizontal="right" vertical="center"/>
    </xf>
    <xf numFmtId="175" fontId="24" fillId="35" borderId="12" xfId="47" applyFont="1" applyFill="1" applyBorder="1" applyAlignment="1">
      <alignment vertical="center"/>
    </xf>
    <xf numFmtId="166" fontId="24" fillId="35" borderId="12" xfId="0" applyNumberFormat="1" applyFont="1" applyFill="1" applyBorder="1">
      <alignment vertical="center"/>
    </xf>
    <xf numFmtId="168" fontId="24" fillId="35" borderId="12" xfId="5" applyFont="1" applyFill="1" applyBorder="1" applyAlignment="1">
      <alignment vertical="center"/>
    </xf>
    <xf numFmtId="165" fontId="24" fillId="0" borderId="0" xfId="0" applyNumberFormat="1" applyFont="1" applyBorder="1" applyAlignment="1">
      <alignment vertical="center"/>
    </xf>
    <xf numFmtId="167" fontId="24" fillId="35" borderId="13" xfId="1" applyFont="1" applyFill="1" applyBorder="1" applyAlignment="1">
      <alignment vertical="center"/>
    </xf>
    <xf numFmtId="0" fontId="24" fillId="0" borderId="13" xfId="0" applyFont="1" applyFill="1" applyBorder="1">
      <alignment vertical="center"/>
    </xf>
    <xf numFmtId="167" fontId="24" fillId="0" borderId="13" xfId="1" applyFont="1" applyFill="1" applyBorder="1" applyAlignment="1">
      <alignment vertical="center"/>
    </xf>
    <xf numFmtId="0" fontId="31" fillId="0" borderId="0" xfId="0" applyFont="1">
      <alignment vertical="center"/>
    </xf>
    <xf numFmtId="166" fontId="28" fillId="38" borderId="0" xfId="0" applyNumberFormat="1" applyFont="1" applyFill="1">
      <alignment vertical="center"/>
    </xf>
    <xf numFmtId="166" fontId="28" fillId="39" borderId="0" xfId="0" applyNumberFormat="1" applyFont="1" applyFill="1">
      <alignment vertical="center"/>
    </xf>
    <xf numFmtId="166" fontId="0" fillId="0" borderId="0" xfId="3" applyFont="1" applyBorder="1" applyAlignment="1">
      <alignment vertical="center"/>
    </xf>
    <xf numFmtId="0" fontId="0" fillId="42" borderId="0" xfId="0" applyFill="1">
      <alignment vertical="center"/>
    </xf>
    <xf numFmtId="183" fontId="23" fillId="42" borderId="0" xfId="0" applyNumberFormat="1" applyFont="1" applyFill="1">
      <alignment vertical="center"/>
    </xf>
    <xf numFmtId="166" fontId="0" fillId="42" borderId="0" xfId="3" applyFont="1" applyFill="1" applyAlignment="1">
      <alignment vertical="center"/>
    </xf>
    <xf numFmtId="166" fontId="35" fillId="0" borderId="0" xfId="0" applyNumberFormat="1" applyFont="1">
      <alignment vertical="center"/>
    </xf>
    <xf numFmtId="0" fontId="24" fillId="0" borderId="0" xfId="0" applyFont="1" applyFill="1" applyBorder="1">
      <alignment vertical="center"/>
    </xf>
    <xf numFmtId="167" fontId="19" fillId="0" borderId="0" xfId="1" applyFont="1" applyFill="1" applyBorder="1" applyAlignment="1">
      <alignment vertical="center"/>
    </xf>
    <xf numFmtId="167" fontId="23" fillId="0" borderId="0" xfId="1" applyFont="1" applyFill="1" applyBorder="1" applyAlignment="1">
      <alignment vertical="center"/>
    </xf>
    <xf numFmtId="169" fontId="28" fillId="41" borderId="0" xfId="5" applyNumberFormat="1" applyFont="1" applyFill="1" applyAlignment="1">
      <alignment vertical="center"/>
    </xf>
    <xf numFmtId="175" fontId="28" fillId="41" borderId="0" xfId="47" applyFont="1" applyFill="1" applyAlignment="1">
      <alignment vertical="center"/>
    </xf>
    <xf numFmtId="173" fontId="0" fillId="0" borderId="0" xfId="1" applyNumberFormat="1" applyFont="1" applyAlignment="1">
      <alignment vertical="center"/>
    </xf>
    <xf numFmtId="173" fontId="25" fillId="0" borderId="0" xfId="50" applyNumberFormat="1" applyFill="1" applyAlignment="1">
      <alignment vertical="center"/>
    </xf>
    <xf numFmtId="0" fontId="24" fillId="0" borderId="0" xfId="0" applyNumberFormat="1" applyFont="1">
      <alignment vertical="center"/>
    </xf>
    <xf numFmtId="173" fontId="24" fillId="35" borderId="0" xfId="0" applyNumberFormat="1" applyFont="1" applyFill="1">
      <alignment vertical="center"/>
    </xf>
    <xf numFmtId="168" fontId="24" fillId="35" borderId="0" xfId="5" applyFont="1" applyFill="1" applyAlignment="1">
      <alignment vertical="center"/>
    </xf>
    <xf numFmtId="176" fontId="27" fillId="41" borderId="0" xfId="5" applyNumberFormat="1" applyFont="1" applyFill="1" applyAlignment="1">
      <alignment vertical="center"/>
    </xf>
    <xf numFmtId="165" fontId="0" fillId="0" borderId="0" xfId="0" applyNumberFormat="1">
      <alignment vertical="center"/>
    </xf>
    <xf numFmtId="14" fontId="25" fillId="33" borderId="0" xfId="50" applyNumberFormat="1" applyAlignment="1">
      <alignment vertical="center"/>
    </xf>
    <xf numFmtId="166" fontId="24" fillId="35" borderId="0" xfId="3" applyFont="1" applyFill="1" applyAlignment="1">
      <alignment vertical="center"/>
    </xf>
    <xf numFmtId="0" fontId="24" fillId="35" borderId="12" xfId="3" applyNumberFormat="1" applyFont="1" applyFill="1" applyBorder="1" applyAlignment="1">
      <alignment vertical="center"/>
    </xf>
    <xf numFmtId="10" fontId="26" fillId="0" borderId="0" xfId="49" applyNumberFormat="1" applyAlignment="1">
      <alignment vertical="center"/>
    </xf>
    <xf numFmtId="175" fontId="25" fillId="33" borderId="0" xfId="51" applyNumberFormat="1" applyAlignment="1">
      <alignment vertical="center"/>
    </xf>
    <xf numFmtId="0" fontId="0" fillId="36" borderId="0" xfId="0" applyFill="1">
      <alignment vertical="center"/>
    </xf>
    <xf numFmtId="184" fontId="0" fillId="0" borderId="0" xfId="47" applyNumberFormat="1" applyFont="1" applyAlignment="1">
      <alignment vertical="center"/>
    </xf>
    <xf numFmtId="169" fontId="25" fillId="33" borderId="0" xfId="50" applyNumberFormat="1" applyAlignment="1">
      <alignment vertical="center"/>
    </xf>
    <xf numFmtId="0" fontId="36" fillId="0" borderId="0" xfId="0" applyFont="1" applyAlignment="1"/>
    <xf numFmtId="166" fontId="33" fillId="0" borderId="0" xfId="3" applyFont="1" applyBorder="1" applyAlignment="1">
      <alignment vertical="center"/>
    </xf>
    <xf numFmtId="169" fontId="25" fillId="33" borderId="0" xfId="5" applyNumberFormat="1" applyFont="1" applyFill="1" applyBorder="1" applyAlignment="1">
      <alignment vertical="center"/>
    </xf>
    <xf numFmtId="14" fontId="25" fillId="33" borderId="0" xfId="51" applyNumberFormat="1" applyAlignment="1">
      <alignment horizontal="center" vertical="center"/>
    </xf>
    <xf numFmtId="166" fontId="37" fillId="0" borderId="0" xfId="50" applyNumberFormat="1" applyFont="1" applyFill="1" applyAlignment="1">
      <alignment vertical="center"/>
    </xf>
    <xf numFmtId="166" fontId="37" fillId="0" borderId="22" xfId="50" applyNumberFormat="1" applyFont="1" applyFill="1" applyBorder="1" applyAlignment="1">
      <alignment vertical="center"/>
    </xf>
    <xf numFmtId="167" fontId="24" fillId="43" borderId="14" xfId="1" applyFont="1" applyFill="1" applyBorder="1" applyAlignment="1">
      <alignment horizontal="right" vertical="center" indent="1"/>
    </xf>
    <xf numFmtId="0" fontId="24" fillId="43" borderId="0" xfId="0" applyFont="1" applyFill="1">
      <alignment vertical="center"/>
    </xf>
    <xf numFmtId="176" fontId="24" fillId="43" borderId="0" xfId="5" applyNumberFormat="1" applyFont="1" applyFill="1" applyAlignment="1">
      <alignment vertical="center"/>
    </xf>
    <xf numFmtId="168" fontId="33" fillId="40" borderId="21" xfId="50" applyNumberFormat="1" applyFont="1" applyFill="1" applyBorder="1" applyAlignment="1">
      <alignment vertical="center"/>
    </xf>
    <xf numFmtId="0" fontId="24" fillId="35" borderId="12" xfId="1" applyNumberFormat="1" applyFont="1" applyFill="1" applyBorder="1" applyAlignment="1">
      <alignment vertical="center"/>
    </xf>
    <xf numFmtId="0" fontId="24" fillId="35" borderId="12" xfId="0" applyFont="1" applyFill="1" applyBorder="1" applyAlignment="1">
      <alignment vertical="center"/>
    </xf>
    <xf numFmtId="166" fontId="24" fillId="35" borderId="24" xfId="3" applyFont="1" applyFill="1" applyBorder="1" applyAlignment="1">
      <alignment vertical="center"/>
    </xf>
    <xf numFmtId="166" fontId="24" fillId="43" borderId="12" xfId="3" applyFont="1" applyFill="1" applyBorder="1" applyAlignment="1">
      <alignment vertical="center"/>
    </xf>
    <xf numFmtId="167" fontId="25" fillId="33" borderId="0" xfId="51" applyNumberFormat="1" applyFont="1" applyAlignment="1">
      <alignment vertical="center"/>
    </xf>
    <xf numFmtId="0" fontId="23" fillId="35" borderId="10" xfId="1" applyNumberFormat="1" applyFont="1" applyFill="1" applyBorder="1" applyAlignment="1">
      <alignment horizontal="left" vertical="center" indent="1"/>
    </xf>
    <xf numFmtId="0" fontId="23" fillId="35" borderId="10" xfId="0" applyFont="1" applyFill="1" applyBorder="1" applyAlignment="1">
      <alignment vertical="center"/>
    </xf>
    <xf numFmtId="169" fontId="38" fillId="43" borderId="10" xfId="5" applyNumberFormat="1" applyFont="1" applyFill="1" applyBorder="1" applyAlignment="1">
      <alignment vertical="center"/>
    </xf>
    <xf numFmtId="169" fontId="38" fillId="43" borderId="23" xfId="5" applyNumberFormat="1" applyFont="1" applyFill="1" applyBorder="1" applyAlignment="1">
      <alignment vertical="center"/>
    </xf>
    <xf numFmtId="165" fontId="24" fillId="0" borderId="10" xfId="0" applyNumberFormat="1" applyFont="1" applyBorder="1">
      <alignment vertical="center"/>
    </xf>
    <xf numFmtId="164" fontId="24" fillId="0" borderId="10" xfId="0" applyNumberFormat="1" applyFont="1" applyBorder="1">
      <alignment vertical="center"/>
    </xf>
    <xf numFmtId="167" fontId="19" fillId="0" borderId="16" xfId="1" applyFont="1" applyBorder="1" applyAlignment="1">
      <alignment horizontal="centerContinuous" vertical="center"/>
    </xf>
  </cellXfs>
  <cellStyles count="52">
    <cellStyle name="20% - Accent1" xfId="24" builtinId="30" hidden="1"/>
    <cellStyle name="20% - Accent2" xfId="28" builtinId="34" hidden="1"/>
    <cellStyle name="20% - Accent3" xfId="32" builtinId="38" hidden="1"/>
    <cellStyle name="20% - Accent4" xfId="36" builtinId="42" hidden="1"/>
    <cellStyle name="20% - Accent5" xfId="40" builtinId="46" hidden="1"/>
    <cellStyle name="20% - Accent6" xfId="44" builtinId="50" hidden="1"/>
    <cellStyle name="40% - Accent1" xfId="25" builtinId="31" hidden="1"/>
    <cellStyle name="40% - Accent2" xfId="29" builtinId="35" hidden="1"/>
    <cellStyle name="40% - Accent3" xfId="33" builtinId="39" hidden="1"/>
    <cellStyle name="40% - Accent4" xfId="37" builtinId="43" hidden="1"/>
    <cellStyle name="40% - Accent5" xfId="41" builtinId="47" hidden="1"/>
    <cellStyle name="40% - Accent6" xfId="45" builtinId="51" hidden="1"/>
    <cellStyle name="60% - Accent1" xfId="26" builtinId="32" hidden="1"/>
    <cellStyle name="60% - Accent2" xfId="30" builtinId="36" hidden="1"/>
    <cellStyle name="60% - Accent3" xfId="34" builtinId="40" hidden="1"/>
    <cellStyle name="60% - Accent4" xfId="38" builtinId="44" hidden="1"/>
    <cellStyle name="60% - Accent5" xfId="42" builtinId="48" hidden="1"/>
    <cellStyle name="60% - Accent6" xfId="46" builtinId="52" hidden="1"/>
    <cellStyle name="Accent1" xfId="23" builtinId="29" hidden="1"/>
    <cellStyle name="Accent2" xfId="27" builtinId="33" hidden="1"/>
    <cellStyle name="Accent3" xfId="31" builtinId="37" hidden="1"/>
    <cellStyle name="Accent4" xfId="35" builtinId="41" hidden="1"/>
    <cellStyle name="Accent5" xfId="39" builtinId="45" hidden="1"/>
    <cellStyle name="Accent6" xfId="43" builtinId="49" hidden="1"/>
    <cellStyle name="Bad" xfId="12" builtinId="27" hidden="1"/>
    <cellStyle name="Calculation" xfId="16" builtinId="22" hidden="1"/>
    <cellStyle name="Check Cell" xfId="18" builtinId="23" hidden="1"/>
    <cellStyle name="Comma" xfId="1" builtinId="3" customBuiltin="1"/>
    <cellStyle name="Comma [0]" xfId="2" builtinId="6" hidden="1"/>
    <cellStyle name="Currency" xfId="3" builtinId="4" customBuiltin="1"/>
    <cellStyle name="Currency [0]" xfId="4" builtinId="7" hidden="1"/>
    <cellStyle name="Explanatory Text" xfId="21" builtinId="53" hidden="1"/>
    <cellStyle name="Good" xfId="11" builtinId="26" hidden="1"/>
    <cellStyle name="Heading 1" xfId="7" builtinId="16" hidden="1"/>
    <cellStyle name="Heading 2" xfId="8" builtinId="17" hidden="1"/>
    <cellStyle name="Heading 3" xfId="9" builtinId="18" hidden="1"/>
    <cellStyle name="Heading 4" xfId="10" builtinId="19" hidden="1"/>
    <cellStyle name="Input" xfId="14" builtinId="20" hidden="1"/>
    <cellStyle name="Input" xfId="48" builtinId="20" hidden="1"/>
    <cellStyle name="Input" xfId="50"/>
    <cellStyle name="Input_" xfId="51"/>
    <cellStyle name="Linked Cell" xfId="17" builtinId="24" hidden="1"/>
    <cellStyle name="Multiple" xfId="47"/>
    <cellStyle name="Neutral" xfId="13" builtinId="28" hidden="1"/>
    <cellStyle name="Normal" xfId="0" builtinId="0" customBuiltin="1"/>
    <cellStyle name="Note" xfId="20" builtinId="10" hidden="1"/>
    <cellStyle name="Output" xfId="15" builtinId="21" hidden="1"/>
    <cellStyle name="Percent" xfId="5" builtinId="5" customBuiltin="1"/>
    <cellStyle name="Reference" xfId="49"/>
    <cellStyle name="Title" xfId="6" builtinId="15" hidden="1"/>
    <cellStyle name="Total" xfId="22" builtinId="25" hidden="1"/>
    <cellStyle name="Warning Text" xfId="19" builtinId="11" hidden="1"/>
  </cellStyles>
  <dxfs count="0"/>
  <tableStyles count="0" defaultTableStyle="TableStyleMedium2" defaultPivotStyle="PivotStyleLight16"/>
  <colors>
    <mruColors>
      <color rgb="FFF2F2F2"/>
      <color rgb="FF800080"/>
      <color rgb="FFFFFFCC"/>
      <color rgb="FF0000FF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xlMacrosheet" Target="macrosheets/sheet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/>
  </sheetPr>
  <dimension ref="A1:E8"/>
  <sheetViews>
    <sheetView showFormulas="1" workbookViewId="0">
      <selection activeCell="A7" sqref="A7"/>
    </sheetView>
  </sheetViews>
  <sheetFormatPr defaultRowHeight="12.75" x14ac:dyDescent="0.2"/>
  <cols>
    <col min="1" max="1" width="22.42578125" customWidth="1"/>
    <col min="2" max="2" width="17.140625" bestFit="1" customWidth="1"/>
    <col min="3" max="3" width="16.5703125" bestFit="1" customWidth="1"/>
    <col min="4" max="4" width="45.28515625" bestFit="1" customWidth="1"/>
    <col min="5" max="5" width="25.140625" bestFit="1" customWidth="1"/>
  </cols>
  <sheetData>
    <row r="1" spans="1:5" x14ac:dyDescent="0.2">
      <c r="A1" t="b">
        <f>RESULT(72)</f>
        <v>1</v>
      </c>
      <c r="B1" s="16" t="b">
        <f>RESULT(72)</f>
        <v>1</v>
      </c>
      <c r="C1" s="16" t="b">
        <f>RESULT(72)</f>
        <v>1</v>
      </c>
      <c r="D1" s="16" t="b">
        <f>RESULT(72)</f>
        <v>1</v>
      </c>
      <c r="E1" s="16" t="b">
        <f>RESULT(72)</f>
        <v>1</v>
      </c>
    </row>
    <row r="2" spans="1:5" x14ac:dyDescent="0.2">
      <c r="A2" t="b">
        <f>ARGUMENT("Price", 1+2+4+8+64)</f>
        <v>1</v>
      </c>
      <c r="B2" s="16" t="b">
        <f>ARGUMENT("Beta", 1+2+4+8+64)</f>
        <v>1</v>
      </c>
      <c r="C2" s="16" t="b">
        <f>ARGUMENT("Beta", 1+2+4+8+64)</f>
        <v>1</v>
      </c>
      <c r="D2" s="16" t="b">
        <f>ARGUMENT("Multiple", 1+2+4+8+64)</f>
        <v>1</v>
      </c>
      <c r="E2" s="16" t="b">
        <f>ARGUMENT("g", 1+2+4+8+64)</f>
        <v>1</v>
      </c>
    </row>
    <row r="3" spans="1:5" x14ac:dyDescent="0.2">
      <c r="A3" t="b">
        <f>ARGUMENT("Strike", 1+2+4+8+64)</f>
        <v>1</v>
      </c>
      <c r="B3" s="16" t="b">
        <f>ARGUMENT("Tax", 1+2+4+8+64)</f>
        <v>1</v>
      </c>
      <c r="C3" s="16" t="b">
        <f>ARGUMENT("Tax", 1+2+4+8+64)</f>
        <v>1</v>
      </c>
      <c r="D3" s="16" t="b">
        <f>ARGUMENT("EBITDA", 1+2+4+8+64)</f>
        <v>1</v>
      </c>
      <c r="E3" s="16" t="b">
        <f>ARGUMENT("EBITDA", 1+2+4+8+64)</f>
        <v>1</v>
      </c>
    </row>
    <row r="4" spans="1:5" x14ac:dyDescent="0.2">
      <c r="A4" t="b">
        <f>ARGUMENT("Amount", 1+2+4+8+64)</f>
        <v>1</v>
      </c>
      <c r="B4" s="16" t="b">
        <f>ARGUMENT("Debt", 1+2+4+8+64)</f>
        <v>1</v>
      </c>
      <c r="C4" s="16" t="b">
        <f>ARGUMENT("Debt", 1+2+4+8+64)</f>
        <v>1</v>
      </c>
      <c r="D4" s="16" t="b">
        <f>ARGUMENT("FCF", 1+2+4+8+64)</f>
        <v>1</v>
      </c>
      <c r="E4" s="16" t="b">
        <f>ARGUMENT("FCF", 1+2+4+8+64)</f>
        <v>1</v>
      </c>
    </row>
    <row r="5" spans="1:5" x14ac:dyDescent="0.2">
      <c r="A5">
        <f t="array" ref="A5">SUM((Strike&lt;Price)*(Amount-Amount*Strike/Price))</f>
        <v>0.14799999999999999</v>
      </c>
      <c r="B5" s="16" t="b">
        <f>ARGUMENT("Equity", 1+2+4+8+64)</f>
        <v>1</v>
      </c>
      <c r="C5" s="16" t="b">
        <f>ARGUMENT("Equity", 1+2+4+8+64)</f>
        <v>1</v>
      </c>
      <c r="D5" s="16" t="b">
        <f>ARGUMENT("WACC", 1+2+4+8+64)</f>
        <v>1</v>
      </c>
      <c r="E5" s="16" t="b">
        <f>ARGUMENT("WACC", 1+2+4+8+64)</f>
        <v>1</v>
      </c>
    </row>
    <row r="6" spans="1:5" x14ac:dyDescent="0.2">
      <c r="A6" t="b">
        <f>RETURN(A5)</f>
        <v>1</v>
      </c>
      <c r="B6">
        <f>Beta*(1+(1-Tax)*(Debt/Equity))</f>
        <v>1.2526256684491976</v>
      </c>
      <c r="C6" s="16">
        <f>Beta/(1+(1-Tax)*(Debt/Equity))</f>
        <v>0.83633082706766937</v>
      </c>
      <c r="D6" s="16" t="b">
        <f>ARGUMENT("Flag", 1+2+4+8+64)</f>
        <v>1</v>
      </c>
      <c r="E6" s="16" t="b">
        <f>ARGUMENT("Flag", 1+2+4+8+64)</f>
        <v>1</v>
      </c>
    </row>
    <row r="7" spans="1:5" x14ac:dyDescent="0.2">
      <c r="B7" t="b">
        <f>RETURN(B6)</f>
        <v>1</v>
      </c>
      <c r="C7" s="16" t="b">
        <f>RETURN(C6)</f>
        <v>1</v>
      </c>
      <c r="D7">
        <f>(EBITDA*Multiple*WACC-FCF*(1+WACC)^((Flag-1)/2))/((FCF*(1+WACC)^((Flag-1)/2))+EBITDA*Multiple)</f>
        <v>3.5021613418799703E-2</v>
      </c>
      <c r="E7">
        <f>(FCF*(1+g)*(1+WACC)^((Flag-1)/2))/(EBITDA*(WACC-g))</f>
        <v>9.3960838528199417</v>
      </c>
    </row>
    <row r="8" spans="1:5" x14ac:dyDescent="0.2">
      <c r="D8" s="16" t="b">
        <f>RETURN(D7)</f>
        <v>1</v>
      </c>
      <c r="E8" s="16" t="b">
        <f>RETURN(E7)</f>
        <v>1</v>
      </c>
    </row>
  </sheetData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Fire &amp; 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00747C"/>
      </a:accent1>
      <a:accent2>
        <a:srgbClr val="00BBC9"/>
      </a:accent2>
      <a:accent3>
        <a:srgbClr val="878787"/>
      </a:accent3>
      <a:accent4>
        <a:srgbClr val="820333"/>
      </a:accent4>
      <a:accent5>
        <a:srgbClr val="C9283E"/>
      </a:accent5>
      <a:accent6>
        <a:srgbClr val="F0433A"/>
      </a:accent6>
      <a:hlink>
        <a:srgbClr val="44546A"/>
      </a:hlink>
      <a:folHlink>
        <a:srgbClr val="CACACA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A1:AZ162"/>
  <sheetViews>
    <sheetView showGridLines="0" zoomScale="80" zoomScaleNormal="80" workbookViewId="0">
      <selection activeCell="C4" sqref="C4"/>
    </sheetView>
  </sheetViews>
  <sheetFormatPr defaultColWidth="12.7109375" defaultRowHeight="12.75" x14ac:dyDescent="0.2"/>
  <cols>
    <col min="1" max="1" width="2.7109375" style="4" customWidth="1"/>
    <col min="2" max="51" width="12.7109375" style="2"/>
    <col min="52" max="52" width="12.7109375" style="3"/>
    <col min="53" max="16384" width="12.7109375" style="2"/>
  </cols>
  <sheetData>
    <row r="1" spans="1:17" ht="30" customHeight="1" x14ac:dyDescent="0.25">
      <c r="A1" s="276"/>
      <c r="B1" s="8" t="s">
        <v>2</v>
      </c>
      <c r="C1" s="7"/>
      <c r="D1" s="7"/>
      <c r="E1" s="7"/>
      <c r="F1" s="7"/>
      <c r="G1" s="7"/>
      <c r="H1" s="7"/>
      <c r="I1" s="7"/>
      <c r="J1" s="7"/>
      <c r="K1" s="7"/>
      <c r="L1" s="7"/>
      <c r="M1" s="6"/>
      <c r="N1" s="6"/>
      <c r="O1" s="6"/>
      <c r="P1" s="6"/>
      <c r="Q1" s="6"/>
    </row>
    <row r="2" spans="1:17" ht="15" x14ac:dyDescent="0.2">
      <c r="A2" s="13"/>
    </row>
    <row r="3" spans="1:17" ht="15" x14ac:dyDescent="0.2">
      <c r="A3" s="13"/>
      <c r="B3" s="5" t="s">
        <v>3</v>
      </c>
      <c r="C3" s="45">
        <v>1</v>
      </c>
    </row>
    <row r="4" spans="1:17" ht="15" x14ac:dyDescent="0.2">
      <c r="A4" s="13"/>
      <c r="B4" s="2" t="s">
        <v>21</v>
      </c>
      <c r="C4" s="46">
        <v>43585</v>
      </c>
    </row>
    <row r="5" spans="1:17" ht="15" x14ac:dyDescent="0.2">
      <c r="A5" s="13"/>
    </row>
    <row r="6" spans="1:17" ht="15" x14ac:dyDescent="0.2">
      <c r="A6" s="13"/>
    </row>
    <row r="7" spans="1:17" ht="15" x14ac:dyDescent="0.2">
      <c r="A7" s="13"/>
    </row>
    <row r="8" spans="1:17" ht="15" x14ac:dyDescent="0.2">
      <c r="A8" s="13"/>
    </row>
    <row r="9" spans="1:17" ht="15" x14ac:dyDescent="0.2">
      <c r="A9" s="13"/>
    </row>
    <row r="10" spans="1:17" ht="15" x14ac:dyDescent="0.2">
      <c r="A10" s="13"/>
    </row>
    <row r="11" spans="1:17" ht="15" x14ac:dyDescent="0.2">
      <c r="A11" s="13"/>
    </row>
    <row r="12" spans="1:17" ht="15" x14ac:dyDescent="0.2">
      <c r="A12" s="13"/>
    </row>
    <row r="13" spans="1:17" ht="15" x14ac:dyDescent="0.2">
      <c r="A13" s="13"/>
    </row>
    <row r="14" spans="1:17" ht="15" x14ac:dyDescent="0.2">
      <c r="A14" s="13"/>
    </row>
    <row r="15" spans="1:17" ht="15" x14ac:dyDescent="0.2">
      <c r="A15" s="13"/>
    </row>
    <row r="16" spans="1:17" ht="15" x14ac:dyDescent="0.2">
      <c r="A16" s="13"/>
    </row>
    <row r="17" spans="1:1" ht="15" x14ac:dyDescent="0.2">
      <c r="A17" s="13"/>
    </row>
    <row r="18" spans="1:1" ht="15" x14ac:dyDescent="0.2">
      <c r="A18" s="13"/>
    </row>
    <row r="19" spans="1:1" ht="15" x14ac:dyDescent="0.2">
      <c r="A19" s="13"/>
    </row>
    <row r="20" spans="1:1" ht="15" x14ac:dyDescent="0.2">
      <c r="A20" s="13"/>
    </row>
    <row r="21" spans="1:1" ht="15" x14ac:dyDescent="0.2">
      <c r="A21" s="13"/>
    </row>
    <row r="22" spans="1:1" ht="15" x14ac:dyDescent="0.2">
      <c r="A22" s="13"/>
    </row>
    <row r="23" spans="1:1" ht="15" x14ac:dyDescent="0.2">
      <c r="A23" s="13"/>
    </row>
    <row r="24" spans="1:1" ht="15" x14ac:dyDescent="0.2">
      <c r="A24" s="13"/>
    </row>
    <row r="25" spans="1:1" ht="15" x14ac:dyDescent="0.2">
      <c r="A25" s="13"/>
    </row>
    <row r="26" spans="1:1" ht="15" x14ac:dyDescent="0.2">
      <c r="A26" s="13"/>
    </row>
    <row r="27" spans="1:1" ht="15" x14ac:dyDescent="0.2">
      <c r="A27" s="13"/>
    </row>
    <row r="28" spans="1:1" ht="15" x14ac:dyDescent="0.2">
      <c r="A28" s="13"/>
    </row>
    <row r="29" spans="1:1" ht="15" x14ac:dyDescent="0.2">
      <c r="A29" s="13"/>
    </row>
    <row r="30" spans="1:1" ht="15" x14ac:dyDescent="0.2">
      <c r="A30" s="13"/>
    </row>
    <row r="31" spans="1:1" ht="15" x14ac:dyDescent="0.2">
      <c r="A31" s="13"/>
    </row>
    <row r="32" spans="1:1" ht="15" x14ac:dyDescent="0.2">
      <c r="A32" s="13"/>
    </row>
    <row r="33" spans="1:1" ht="15" x14ac:dyDescent="0.2">
      <c r="A33" s="13"/>
    </row>
    <row r="34" spans="1:1" ht="15" x14ac:dyDescent="0.2">
      <c r="A34" s="13"/>
    </row>
    <row r="35" spans="1:1" ht="15" x14ac:dyDescent="0.2">
      <c r="A35" s="13"/>
    </row>
    <row r="36" spans="1:1" ht="15" x14ac:dyDescent="0.2">
      <c r="A36" s="13"/>
    </row>
    <row r="37" spans="1:1" ht="15" x14ac:dyDescent="0.2">
      <c r="A37" s="13"/>
    </row>
    <row r="38" spans="1:1" ht="15" x14ac:dyDescent="0.2">
      <c r="A38" s="13"/>
    </row>
    <row r="39" spans="1:1" ht="15" x14ac:dyDescent="0.2">
      <c r="A39" s="13"/>
    </row>
    <row r="40" spans="1:1" ht="15" x14ac:dyDescent="0.2">
      <c r="A40" s="13"/>
    </row>
    <row r="41" spans="1:1" ht="15" x14ac:dyDescent="0.2">
      <c r="A41" s="13"/>
    </row>
    <row r="42" spans="1:1" ht="15" x14ac:dyDescent="0.2">
      <c r="A42" s="13"/>
    </row>
    <row r="43" spans="1:1" ht="15" x14ac:dyDescent="0.2">
      <c r="A43" s="13"/>
    </row>
    <row r="44" spans="1:1" ht="15" x14ac:dyDescent="0.2">
      <c r="A44" s="13"/>
    </row>
    <row r="45" spans="1:1" ht="15" x14ac:dyDescent="0.2">
      <c r="A45" s="13"/>
    </row>
    <row r="46" spans="1:1" ht="15" x14ac:dyDescent="0.2">
      <c r="A46" s="13"/>
    </row>
    <row r="47" spans="1:1" ht="15" x14ac:dyDescent="0.2">
      <c r="A47" s="13"/>
    </row>
    <row r="48" spans="1:1" ht="15" x14ac:dyDescent="0.2">
      <c r="A48" s="13"/>
    </row>
    <row r="49" spans="1:1" ht="15" x14ac:dyDescent="0.2">
      <c r="A49" s="13"/>
    </row>
    <row r="50" spans="1:1" ht="15" x14ac:dyDescent="0.2">
      <c r="A50" s="13"/>
    </row>
    <row r="51" spans="1:1" ht="15" x14ac:dyDescent="0.2">
      <c r="A51" s="13"/>
    </row>
    <row r="52" spans="1:1" ht="15" x14ac:dyDescent="0.2">
      <c r="A52" s="13"/>
    </row>
    <row r="53" spans="1:1" ht="15" x14ac:dyDescent="0.2">
      <c r="A53" s="13"/>
    </row>
    <row r="54" spans="1:1" ht="15" x14ac:dyDescent="0.2">
      <c r="A54" s="13"/>
    </row>
    <row r="55" spans="1:1" ht="15" x14ac:dyDescent="0.2">
      <c r="A55" s="13"/>
    </row>
    <row r="56" spans="1:1" ht="15" x14ac:dyDescent="0.2">
      <c r="A56" s="13"/>
    </row>
    <row r="57" spans="1:1" ht="15" x14ac:dyDescent="0.2">
      <c r="A57" s="13"/>
    </row>
    <row r="58" spans="1:1" ht="15" x14ac:dyDescent="0.2">
      <c r="A58" s="13"/>
    </row>
    <row r="59" spans="1:1" ht="15" x14ac:dyDescent="0.2">
      <c r="A59" s="13"/>
    </row>
    <row r="60" spans="1:1" ht="15" x14ac:dyDescent="0.2">
      <c r="A60" s="13"/>
    </row>
    <row r="61" spans="1:1" ht="15" x14ac:dyDescent="0.2">
      <c r="A61" s="13"/>
    </row>
    <row r="62" spans="1:1" ht="15" x14ac:dyDescent="0.2">
      <c r="A62" s="13"/>
    </row>
    <row r="63" spans="1:1" ht="15" x14ac:dyDescent="0.2">
      <c r="A63" s="13"/>
    </row>
    <row r="64" spans="1:1" ht="15" x14ac:dyDescent="0.2">
      <c r="A64" s="13"/>
    </row>
    <row r="65" spans="1:1" ht="15" x14ac:dyDescent="0.2">
      <c r="A65" s="13"/>
    </row>
    <row r="66" spans="1:1" ht="15" x14ac:dyDescent="0.2">
      <c r="A66" s="13"/>
    </row>
    <row r="67" spans="1:1" ht="15" x14ac:dyDescent="0.2">
      <c r="A67" s="13"/>
    </row>
    <row r="68" spans="1:1" ht="15" x14ac:dyDescent="0.2">
      <c r="A68" s="13"/>
    </row>
    <row r="69" spans="1:1" ht="15" x14ac:dyDescent="0.2">
      <c r="A69" s="13"/>
    </row>
    <row r="70" spans="1:1" ht="15" x14ac:dyDescent="0.2">
      <c r="A70" s="13"/>
    </row>
    <row r="71" spans="1:1" ht="15" x14ac:dyDescent="0.2">
      <c r="A71" s="13"/>
    </row>
    <row r="72" spans="1:1" ht="15" x14ac:dyDescent="0.2">
      <c r="A72" s="13"/>
    </row>
    <row r="73" spans="1:1" ht="15" x14ac:dyDescent="0.2">
      <c r="A73" s="13"/>
    </row>
    <row r="74" spans="1:1" ht="15" x14ac:dyDescent="0.2">
      <c r="A74" s="13"/>
    </row>
    <row r="75" spans="1:1" ht="15" x14ac:dyDescent="0.2">
      <c r="A75" s="13"/>
    </row>
    <row r="76" spans="1:1" ht="15" x14ac:dyDescent="0.2">
      <c r="A76" s="13"/>
    </row>
    <row r="77" spans="1:1" ht="15" x14ac:dyDescent="0.2">
      <c r="A77" s="13"/>
    </row>
    <row r="78" spans="1:1" ht="15" x14ac:dyDescent="0.2">
      <c r="A78" s="13"/>
    </row>
    <row r="79" spans="1:1" ht="15" x14ac:dyDescent="0.2">
      <c r="A79" s="13"/>
    </row>
    <row r="80" spans="1:1" ht="15" x14ac:dyDescent="0.2">
      <c r="A80" s="13"/>
    </row>
    <row r="81" spans="1:1" ht="15" x14ac:dyDescent="0.2">
      <c r="A81" s="13"/>
    </row>
    <row r="82" spans="1:1" ht="15" x14ac:dyDescent="0.2">
      <c r="A82" s="13"/>
    </row>
    <row r="83" spans="1:1" ht="15" x14ac:dyDescent="0.2">
      <c r="A83" s="13"/>
    </row>
    <row r="84" spans="1:1" ht="15" x14ac:dyDescent="0.2">
      <c r="A84" s="13"/>
    </row>
    <row r="85" spans="1:1" ht="15" x14ac:dyDescent="0.2">
      <c r="A85" s="13"/>
    </row>
    <row r="86" spans="1:1" ht="15" x14ac:dyDescent="0.2">
      <c r="A86" s="13"/>
    </row>
    <row r="87" spans="1:1" ht="15" x14ac:dyDescent="0.2">
      <c r="A87" s="13"/>
    </row>
    <row r="88" spans="1:1" ht="15" x14ac:dyDescent="0.2">
      <c r="A88" s="13"/>
    </row>
    <row r="89" spans="1:1" ht="15" x14ac:dyDescent="0.2">
      <c r="A89" s="13"/>
    </row>
    <row r="90" spans="1:1" ht="15" x14ac:dyDescent="0.2">
      <c r="A90" s="13"/>
    </row>
    <row r="91" spans="1:1" ht="15" x14ac:dyDescent="0.2">
      <c r="A91" s="13"/>
    </row>
    <row r="92" spans="1:1" ht="15" x14ac:dyDescent="0.2">
      <c r="A92" s="13"/>
    </row>
    <row r="93" spans="1:1" ht="15" x14ac:dyDescent="0.2">
      <c r="A93" s="13"/>
    </row>
    <row r="94" spans="1:1" ht="15" x14ac:dyDescent="0.2">
      <c r="A94" s="13"/>
    </row>
    <row r="95" spans="1:1" ht="15" x14ac:dyDescent="0.2">
      <c r="A95" s="13"/>
    </row>
    <row r="96" spans="1:1" ht="15" x14ac:dyDescent="0.2">
      <c r="A96" s="13"/>
    </row>
    <row r="97" spans="1:1" ht="15" x14ac:dyDescent="0.2">
      <c r="A97" s="13"/>
    </row>
    <row r="98" spans="1:1" ht="15" x14ac:dyDescent="0.2">
      <c r="A98" s="13"/>
    </row>
    <row r="99" spans="1:1" ht="15" x14ac:dyDescent="0.2">
      <c r="A99" s="13"/>
    </row>
    <row r="100" spans="1:1" ht="15" x14ac:dyDescent="0.2">
      <c r="A100" s="13"/>
    </row>
    <row r="101" spans="1:1" ht="15" x14ac:dyDescent="0.2">
      <c r="A101" s="13"/>
    </row>
    <row r="102" spans="1:1" ht="15" x14ac:dyDescent="0.2">
      <c r="A102" s="13"/>
    </row>
    <row r="103" spans="1:1" ht="15" x14ac:dyDescent="0.2">
      <c r="A103" s="13"/>
    </row>
    <row r="104" spans="1:1" ht="15" x14ac:dyDescent="0.2">
      <c r="A104" s="13"/>
    </row>
    <row r="105" spans="1:1" ht="15" x14ac:dyDescent="0.2">
      <c r="A105" s="13"/>
    </row>
    <row r="106" spans="1:1" ht="15" x14ac:dyDescent="0.2">
      <c r="A106" s="13"/>
    </row>
    <row r="107" spans="1:1" ht="15" x14ac:dyDescent="0.2">
      <c r="A107" s="13"/>
    </row>
    <row r="108" spans="1:1" ht="15" x14ac:dyDescent="0.2">
      <c r="A108" s="13"/>
    </row>
    <row r="109" spans="1:1" ht="15" x14ac:dyDescent="0.2">
      <c r="A109" s="13"/>
    </row>
    <row r="110" spans="1:1" ht="15" x14ac:dyDescent="0.2">
      <c r="A110" s="13"/>
    </row>
    <row r="111" spans="1:1" ht="15" x14ac:dyDescent="0.2">
      <c r="A111" s="13"/>
    </row>
    <row r="112" spans="1:1" ht="15" x14ac:dyDescent="0.2">
      <c r="A112" s="13"/>
    </row>
    <row r="113" spans="1:1" ht="15" x14ac:dyDescent="0.2">
      <c r="A113" s="13"/>
    </row>
    <row r="114" spans="1:1" ht="15" x14ac:dyDescent="0.2">
      <c r="A114" s="13"/>
    </row>
    <row r="115" spans="1:1" ht="15" x14ac:dyDescent="0.2">
      <c r="A115" s="13"/>
    </row>
    <row r="116" spans="1:1" ht="15" x14ac:dyDescent="0.2">
      <c r="A116" s="13"/>
    </row>
    <row r="117" spans="1:1" ht="15" x14ac:dyDescent="0.2">
      <c r="A117" s="13"/>
    </row>
    <row r="118" spans="1:1" ht="15" x14ac:dyDescent="0.2">
      <c r="A118" s="13"/>
    </row>
    <row r="119" spans="1:1" ht="15" x14ac:dyDescent="0.2">
      <c r="A119" s="13"/>
    </row>
    <row r="120" spans="1:1" ht="15" x14ac:dyDescent="0.2">
      <c r="A120" s="13"/>
    </row>
    <row r="121" spans="1:1" ht="15" x14ac:dyDescent="0.2">
      <c r="A121" s="13"/>
    </row>
    <row r="122" spans="1:1" ht="15" x14ac:dyDescent="0.2">
      <c r="A122" s="13"/>
    </row>
    <row r="123" spans="1:1" ht="15" x14ac:dyDescent="0.2">
      <c r="A123" s="13"/>
    </row>
    <row r="124" spans="1:1" ht="15" x14ac:dyDescent="0.2">
      <c r="A124" s="13"/>
    </row>
    <row r="125" spans="1:1" ht="15" x14ac:dyDescent="0.2">
      <c r="A125" s="13"/>
    </row>
    <row r="126" spans="1:1" ht="15" x14ac:dyDescent="0.2">
      <c r="A126" s="13"/>
    </row>
    <row r="127" spans="1:1" ht="15" x14ac:dyDescent="0.2">
      <c r="A127" s="13"/>
    </row>
    <row r="128" spans="1:1" ht="15" x14ac:dyDescent="0.2">
      <c r="A128" s="13"/>
    </row>
    <row r="129" spans="1:1" ht="15" x14ac:dyDescent="0.2">
      <c r="A129" s="13"/>
    </row>
    <row r="130" spans="1:1" ht="15" x14ac:dyDescent="0.2">
      <c r="A130" s="13"/>
    </row>
    <row r="131" spans="1:1" ht="15" x14ac:dyDescent="0.2">
      <c r="A131" s="13"/>
    </row>
    <row r="132" spans="1:1" ht="15" x14ac:dyDescent="0.2">
      <c r="A132" s="13"/>
    </row>
    <row r="133" spans="1:1" ht="15" x14ac:dyDescent="0.2">
      <c r="A133" s="13"/>
    </row>
    <row r="134" spans="1:1" ht="15" x14ac:dyDescent="0.2">
      <c r="A134" s="13"/>
    </row>
    <row r="135" spans="1:1" ht="15" x14ac:dyDescent="0.2">
      <c r="A135" s="13"/>
    </row>
    <row r="136" spans="1:1" ht="15" x14ac:dyDescent="0.2">
      <c r="A136" s="13"/>
    </row>
    <row r="137" spans="1:1" ht="15" x14ac:dyDescent="0.2">
      <c r="A137" s="13"/>
    </row>
    <row r="138" spans="1:1" ht="15" x14ac:dyDescent="0.2">
      <c r="A138" s="13"/>
    </row>
    <row r="139" spans="1:1" ht="15" x14ac:dyDescent="0.2">
      <c r="A139" s="13"/>
    </row>
    <row r="140" spans="1:1" ht="15" x14ac:dyDescent="0.2">
      <c r="A140" s="13"/>
    </row>
    <row r="141" spans="1:1" ht="15" x14ac:dyDescent="0.2">
      <c r="A141" s="13"/>
    </row>
    <row r="142" spans="1:1" ht="15" x14ac:dyDescent="0.2">
      <c r="A142" s="13"/>
    </row>
    <row r="143" spans="1:1" ht="15" x14ac:dyDescent="0.2">
      <c r="A143" s="13"/>
    </row>
    <row r="144" spans="1:1" ht="15" x14ac:dyDescent="0.2">
      <c r="A144" s="13"/>
    </row>
    <row r="145" spans="1:1" ht="15" x14ac:dyDescent="0.2">
      <c r="A145" s="13"/>
    </row>
    <row r="146" spans="1:1" ht="15" x14ac:dyDescent="0.2">
      <c r="A146" s="13"/>
    </row>
    <row r="147" spans="1:1" ht="15" x14ac:dyDescent="0.2">
      <c r="A147" s="13"/>
    </row>
    <row r="148" spans="1:1" ht="15" x14ac:dyDescent="0.2">
      <c r="A148" s="13"/>
    </row>
    <row r="149" spans="1:1" ht="15" x14ac:dyDescent="0.2">
      <c r="A149" s="13"/>
    </row>
    <row r="150" spans="1:1" ht="15" x14ac:dyDescent="0.2">
      <c r="A150" s="13"/>
    </row>
    <row r="151" spans="1:1" ht="15" x14ac:dyDescent="0.2">
      <c r="A151" s="13"/>
    </row>
    <row r="152" spans="1:1" ht="15" x14ac:dyDescent="0.2">
      <c r="A152" s="13"/>
    </row>
    <row r="153" spans="1:1" ht="15" x14ac:dyDescent="0.2">
      <c r="A153" s="13"/>
    </row>
    <row r="154" spans="1:1" ht="15" x14ac:dyDescent="0.2">
      <c r="A154" s="13"/>
    </row>
    <row r="155" spans="1:1" ht="15" x14ac:dyDescent="0.2">
      <c r="A155" s="13"/>
    </row>
    <row r="156" spans="1:1" ht="15" x14ac:dyDescent="0.2">
      <c r="A156" s="13"/>
    </row>
    <row r="157" spans="1:1" ht="15" x14ac:dyDescent="0.2">
      <c r="A157" s="13"/>
    </row>
    <row r="158" spans="1:1" ht="15" x14ac:dyDescent="0.2">
      <c r="A158" s="13"/>
    </row>
    <row r="159" spans="1:1" ht="15" x14ac:dyDescent="0.2">
      <c r="A159" s="13"/>
    </row>
    <row r="160" spans="1:1" ht="15" x14ac:dyDescent="0.2">
      <c r="A160" s="13"/>
    </row>
    <row r="161" spans="1:1" ht="15" x14ac:dyDescent="0.2">
      <c r="A161" s="13"/>
    </row>
    <row r="162" spans="1:1" ht="15" x14ac:dyDescent="0.2">
      <c r="A162" s="13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outlinePr summaryBelow="0" summaryRight="0"/>
  </sheetPr>
  <dimension ref="A1:AZ167"/>
  <sheetViews>
    <sheetView showGridLines="0" topLeftCell="A4" zoomScale="80" zoomScaleNormal="80" workbookViewId="0">
      <selection activeCell="F31" sqref="F31"/>
    </sheetView>
  </sheetViews>
  <sheetFormatPr defaultColWidth="12.7109375" defaultRowHeight="12.75" x14ac:dyDescent="0.2"/>
  <cols>
    <col min="1" max="1" width="2.7109375" style="18" customWidth="1"/>
    <col min="2" max="51" width="12.7109375" style="16"/>
    <col min="52" max="52" width="12.7109375" style="17"/>
    <col min="53" max="16384" width="12.7109375" style="16"/>
  </cols>
  <sheetData>
    <row r="1" spans="1:51" ht="30" customHeight="1" x14ac:dyDescent="0.25">
      <c r="A1" s="66"/>
      <c r="B1" s="22" t="s">
        <v>14</v>
      </c>
      <c r="C1" s="21"/>
      <c r="D1" s="21"/>
      <c r="E1" s="21"/>
      <c r="F1" s="21"/>
      <c r="G1" s="21"/>
      <c r="H1" s="21"/>
      <c r="I1" s="21"/>
      <c r="J1" s="21"/>
      <c r="L1"/>
      <c r="M1" s="20"/>
      <c r="N1" s="20"/>
      <c r="O1" s="20"/>
      <c r="P1" s="20"/>
      <c r="Q1" s="20"/>
    </row>
    <row r="2" spans="1:51" ht="15" x14ac:dyDescent="0.2">
      <c r="A2" s="13"/>
      <c r="L2"/>
    </row>
    <row r="3" spans="1:51" s="9" customFormat="1" ht="15" customHeight="1" x14ac:dyDescent="0.2">
      <c r="A3" s="13"/>
      <c r="B3" s="64" t="s">
        <v>20</v>
      </c>
      <c r="C3" s="11"/>
      <c r="D3" s="11"/>
      <c r="E3" s="11"/>
      <c r="F3"/>
      <c r="G3" s="65" t="s">
        <v>22</v>
      </c>
      <c r="H3" s="11"/>
      <c r="I3" s="11"/>
      <c r="J3" s="11"/>
      <c r="AY3" s="3"/>
    </row>
    <row r="4" spans="1:51" s="9" customFormat="1" ht="5.0999999999999996" customHeight="1" x14ac:dyDescent="0.2">
      <c r="A4" s="13"/>
      <c r="B4" s="5"/>
      <c r="G4" s="1"/>
      <c r="AY4" s="3"/>
    </row>
    <row r="5" spans="1:51" ht="15" x14ac:dyDescent="0.2">
      <c r="A5" s="13"/>
      <c r="B5" s="40" t="str">
        <f>"Share price as of "&amp;TEXT(AsOf,"m/d/yyyy")</f>
        <v>Share price as of 4/30/2019</v>
      </c>
      <c r="E5" s="35">
        <v>22.5</v>
      </c>
      <c r="G5" s="39" t="s">
        <v>30</v>
      </c>
      <c r="J5" s="38">
        <v>89.9</v>
      </c>
    </row>
    <row r="6" spans="1:51" ht="15" x14ac:dyDescent="0.2">
      <c r="A6" s="13"/>
      <c r="B6" s="40" t="s">
        <v>29</v>
      </c>
      <c r="E6" s="31">
        <f ca="1">SUM(J5:J6)</f>
        <v>90.048000000000002</v>
      </c>
      <c r="G6" s="39" t="s">
        <v>31</v>
      </c>
      <c r="J6" s="30">
        <f ca="1">TSM(Price,H9:H11,I9:I11)</f>
        <v>0.14799999999999999</v>
      </c>
    </row>
    <row r="7" spans="1:51" ht="15" x14ac:dyDescent="0.2">
      <c r="A7" s="13"/>
      <c r="B7" s="41" t="s">
        <v>28</v>
      </c>
      <c r="C7" s="32"/>
      <c r="D7" s="32"/>
      <c r="E7" s="33">
        <f ca="1">Price*DSO</f>
        <v>2026.08</v>
      </c>
      <c r="G7" s="23"/>
      <c r="J7" s="28"/>
    </row>
    <row r="8" spans="1:51" ht="15" x14ac:dyDescent="0.2">
      <c r="A8" s="13"/>
      <c r="B8" s="40" t="s">
        <v>36</v>
      </c>
      <c r="E8" s="36">
        <v>-100</v>
      </c>
      <c r="G8" s="39"/>
      <c r="H8" s="29" t="s">
        <v>23</v>
      </c>
      <c r="I8" s="29" t="s">
        <v>24</v>
      </c>
      <c r="J8" s="29" t="s">
        <v>25</v>
      </c>
    </row>
    <row r="9" spans="1:51" ht="15" x14ac:dyDescent="0.2">
      <c r="A9" s="13"/>
      <c r="B9" s="40" t="s">
        <v>34</v>
      </c>
      <c r="E9" s="36">
        <v>1500</v>
      </c>
      <c r="G9" s="39" t="s">
        <v>26</v>
      </c>
      <c r="H9" s="35">
        <v>35</v>
      </c>
      <c r="I9" s="38">
        <v>0.85099999999999998</v>
      </c>
      <c r="J9" s="26">
        <f ca="1">TSM(Price,H9,I9)</f>
        <v>0</v>
      </c>
    </row>
    <row r="10" spans="1:51" ht="15" x14ac:dyDescent="0.2">
      <c r="A10" s="13"/>
      <c r="B10" s="40" t="s">
        <v>35</v>
      </c>
      <c r="E10" s="36">
        <v>0</v>
      </c>
      <c r="G10" s="39" t="s">
        <v>27</v>
      </c>
      <c r="H10" s="37">
        <v>27</v>
      </c>
      <c r="I10" s="38">
        <v>1.6922999999999999</v>
      </c>
      <c r="J10" s="26">
        <f ca="1">TSM(Price,H10,I10)</f>
        <v>0</v>
      </c>
    </row>
    <row r="11" spans="1:51" ht="15" x14ac:dyDescent="0.2">
      <c r="A11" s="13"/>
      <c r="B11" s="40" t="s">
        <v>37</v>
      </c>
      <c r="E11" s="36">
        <v>0</v>
      </c>
      <c r="G11" s="39" t="s">
        <v>32</v>
      </c>
      <c r="H11" s="36">
        <v>0</v>
      </c>
      <c r="I11" s="38">
        <v>0.14799999999999999</v>
      </c>
      <c r="J11" s="26">
        <f>(H11&lt;Price)*(I11-I11*H11/Price)</f>
        <v>0.14799999999999999</v>
      </c>
    </row>
    <row r="12" spans="1:51" ht="15" x14ac:dyDescent="0.2">
      <c r="A12" s="13"/>
      <c r="B12" s="40" t="s">
        <v>38</v>
      </c>
      <c r="E12" s="23">
        <f>IF(I16&gt;Price,G16,0)</f>
        <v>36</v>
      </c>
      <c r="G12" s="39"/>
      <c r="H12" s="27"/>
      <c r="I12" s="28"/>
      <c r="J12" s="28"/>
    </row>
    <row r="13" spans="1:51" ht="15" x14ac:dyDescent="0.2">
      <c r="A13" s="13"/>
      <c r="B13" s="41" t="s">
        <v>33</v>
      </c>
      <c r="C13" s="32"/>
      <c r="D13" s="32"/>
      <c r="E13" s="33">
        <f ca="1">SUM(E7:E12)</f>
        <v>3462.08</v>
      </c>
      <c r="G13" s="67" t="s">
        <v>39</v>
      </c>
      <c r="H13" s="61"/>
      <c r="I13" s="61"/>
      <c r="J13" s="61"/>
    </row>
    <row r="14" spans="1:51" ht="5.0999999999999996" customHeight="1" x14ac:dyDescent="0.2">
      <c r="A14" s="13"/>
      <c r="B14"/>
      <c r="C14"/>
      <c r="D14"/>
      <c r="E14"/>
      <c r="G14"/>
      <c r="H14"/>
      <c r="I14"/>
      <c r="J14"/>
    </row>
    <row r="15" spans="1:51" ht="15" x14ac:dyDescent="0.2">
      <c r="A15" s="13"/>
      <c r="B15" s="19"/>
      <c r="G15" s="56" t="s">
        <v>45</v>
      </c>
      <c r="H15" s="56" t="s">
        <v>24</v>
      </c>
      <c r="I15" s="56" t="s">
        <v>44</v>
      </c>
      <c r="J15" s="56" t="s">
        <v>25</v>
      </c>
    </row>
    <row r="16" spans="1:51" ht="15" x14ac:dyDescent="0.2">
      <c r="A16" s="13"/>
      <c r="B16" s="42" t="s">
        <v>42</v>
      </c>
      <c r="D16" s="57" t="s">
        <v>40</v>
      </c>
      <c r="E16" s="57" t="s">
        <v>41</v>
      </c>
      <c r="G16" s="55">
        <v>36</v>
      </c>
      <c r="H16" s="38">
        <v>1.125</v>
      </c>
      <c r="I16" s="52">
        <f>G16/H16</f>
        <v>32</v>
      </c>
      <c r="J16" s="26">
        <f>(I16&lt;Price)*H16</f>
        <v>0</v>
      </c>
    </row>
    <row r="17" spans="1:12" ht="5.0999999999999996" customHeight="1" x14ac:dyDescent="0.2">
      <c r="A17" s="13"/>
    </row>
    <row r="18" spans="1:12" ht="15" x14ac:dyDescent="0.2">
      <c r="A18" s="13"/>
      <c r="B18" s="16" t="str">
        <f>"TEV / "&amp;TEXT($F$31,"0\E")&amp;" EBITDA"</f>
        <v>TEV / 2019E EBITDA</v>
      </c>
      <c r="D18" s="48">
        <f>DCF!$F$39</f>
        <v>219.09999999999991</v>
      </c>
      <c r="E18" s="51">
        <f ca="1">$E$13/D18</f>
        <v>15.801369237790968</v>
      </c>
    </row>
    <row r="19" spans="1:12" ht="15" x14ac:dyDescent="0.2">
      <c r="A19" s="13"/>
      <c r="B19" s="16" t="str">
        <f>"TEV / "&amp;TEXT($G$31,"0\E")&amp;" EBITDA"</f>
        <v>TEV / 2020E EBITDA</v>
      </c>
      <c r="D19" s="47">
        <f>DCF!$G$39</f>
        <v>228.5184999999999</v>
      </c>
      <c r="E19" s="51">
        <f ca="1">$E$13/D19</f>
        <v>15.150108196929358</v>
      </c>
    </row>
    <row r="20" spans="1:12" ht="15" x14ac:dyDescent="0.2">
      <c r="A20" s="13"/>
      <c r="B20" s="16" t="str">
        <f>"Net Debt / "&amp;TEXT($F$31,"0\E")&amp;" EBITDA"</f>
        <v>Net Debt / 2019E EBITDA</v>
      </c>
      <c r="D20" s="54">
        <f>D18</f>
        <v>219.09999999999991</v>
      </c>
      <c r="E20" s="53">
        <f>($E$9+$E$11+$E$8)/D20</f>
        <v>6.3897763578274791</v>
      </c>
    </row>
    <row r="21" spans="1:12" ht="15" x14ac:dyDescent="0.2">
      <c r="A21" s="13"/>
      <c r="B21" s="16" t="str">
        <f>"Net Debt / "&amp;TEXT($G$31,"0\E")&amp;" EBITDA"</f>
        <v>Net Debt / 2020E EBITDA</v>
      </c>
      <c r="D21" s="54">
        <f>D19</f>
        <v>228.5184999999999</v>
      </c>
      <c r="E21" s="53">
        <f>($E$9+$E$11+$E$8)/D21</f>
        <v>6.1264186488183698</v>
      </c>
    </row>
    <row r="22" spans="1:12" ht="15" x14ac:dyDescent="0.2">
      <c r="A22" s="13"/>
      <c r="K22"/>
    </row>
    <row r="23" spans="1:12" ht="15" x14ac:dyDescent="0.2">
      <c r="A23" s="13"/>
      <c r="B23" s="64" t="s">
        <v>12</v>
      </c>
      <c r="C23" s="11"/>
      <c r="D23" s="11"/>
      <c r="E23" s="11"/>
      <c r="F23" s="11"/>
      <c r="G23" s="11"/>
      <c r="H23" s="11"/>
      <c r="I23" s="11"/>
      <c r="J23" s="11"/>
      <c r="K23"/>
    </row>
    <row r="24" spans="1:12" ht="5.0999999999999996" customHeight="1" x14ac:dyDescent="0.2">
      <c r="A24" s="13"/>
      <c r="B24" s="43"/>
      <c r="F24"/>
      <c r="K24"/>
    </row>
    <row r="25" spans="1:12" ht="15" x14ac:dyDescent="0.2">
      <c r="A25" s="13"/>
      <c r="B25" s="16" t="s">
        <v>80</v>
      </c>
      <c r="D25" s="279">
        <v>43738</v>
      </c>
      <c r="F25" s="16" t="s">
        <v>85</v>
      </c>
      <c r="H25" s="162">
        <v>9.4</v>
      </c>
      <c r="K25"/>
    </row>
    <row r="26" spans="1:12" ht="15" x14ac:dyDescent="0.2">
      <c r="A26" s="13"/>
      <c r="B26" s="16" t="s">
        <v>81</v>
      </c>
      <c r="D26" s="161">
        <f>1-MONTH(D25)/12</f>
        <v>0.25</v>
      </c>
      <c r="F26" s="16" t="s">
        <v>86</v>
      </c>
      <c r="H26" s="163">
        <v>3.5000000000000003E-2</v>
      </c>
      <c r="K26"/>
    </row>
    <row r="27" spans="1:12" ht="15" x14ac:dyDescent="0.2">
      <c r="A27" s="13"/>
      <c r="B27" s="16" t="s">
        <v>84</v>
      </c>
      <c r="D27" s="150">
        <v>2</v>
      </c>
      <c r="K27"/>
    </row>
    <row r="28" spans="1:12" ht="15" x14ac:dyDescent="0.2">
      <c r="A28" s="13"/>
    </row>
    <row r="29" spans="1:12" ht="15" x14ac:dyDescent="0.2">
      <c r="A29" s="13"/>
      <c r="B29" s="64" t="s">
        <v>14</v>
      </c>
      <c r="C29" s="11"/>
      <c r="D29" s="11"/>
      <c r="E29" s="11"/>
      <c r="F29" s="11"/>
      <c r="G29" s="11"/>
      <c r="H29" s="11"/>
      <c r="I29" s="11"/>
      <c r="J29" s="11"/>
      <c r="K29"/>
      <c r="L29"/>
    </row>
    <row r="30" spans="1:12" ht="5.0999999999999996" customHeight="1" x14ac:dyDescent="0.2">
      <c r="A30" s="13"/>
      <c r="B30" s="43"/>
      <c r="C30" s="9"/>
      <c r="D30" s="9"/>
      <c r="E30" s="9"/>
      <c r="F30" s="9"/>
      <c r="G30" s="9"/>
      <c r="H30" s="9"/>
      <c r="I30" s="9"/>
      <c r="J30" s="9"/>
      <c r="K30"/>
      <c r="L30"/>
    </row>
    <row r="31" spans="1:12" ht="15" x14ac:dyDescent="0.2">
      <c r="A31" s="13"/>
      <c r="B31" s="40"/>
      <c r="C31" s="81"/>
      <c r="D31" s="115">
        <f>E31-1</f>
        <v>2017</v>
      </c>
      <c r="E31" s="140">
        <f>YEAR(D25)-1</f>
        <v>2018</v>
      </c>
      <c r="F31" s="116">
        <f t="shared" ref="F31:J31" si="0">E31+1</f>
        <v>2019</v>
      </c>
      <c r="G31" s="116">
        <f t="shared" si="0"/>
        <v>2020</v>
      </c>
      <c r="H31" s="116">
        <f t="shared" si="0"/>
        <v>2021</v>
      </c>
      <c r="I31" s="116">
        <f t="shared" si="0"/>
        <v>2022</v>
      </c>
      <c r="J31" s="116">
        <f t="shared" si="0"/>
        <v>2023</v>
      </c>
      <c r="K31"/>
    </row>
    <row r="32" spans="1:12" ht="15" x14ac:dyDescent="0.2">
      <c r="A32" s="13"/>
      <c r="B32" s="40"/>
      <c r="C32" s="81"/>
      <c r="D32" s="81"/>
      <c r="E32" s="141"/>
      <c r="F32" s="134"/>
      <c r="G32" s="81"/>
      <c r="H32" s="81"/>
      <c r="I32" s="81"/>
      <c r="J32" s="81"/>
      <c r="K32"/>
    </row>
    <row r="33" spans="1:11" ht="15" x14ac:dyDescent="0.2">
      <c r="A33" s="13"/>
      <c r="B33" s="117" t="s">
        <v>0</v>
      </c>
      <c r="C33" s="118"/>
      <c r="D33" s="280">
        <v>1250</v>
      </c>
      <c r="E33" s="281">
        <v>1300</v>
      </c>
      <c r="F33" s="277">
        <f>E33*(1+F34)</f>
        <v>1345.5</v>
      </c>
      <c r="G33" s="277">
        <f t="shared" ref="G33:J33" si="1">F33*(1+G34)</f>
        <v>1392.5925</v>
      </c>
      <c r="H33" s="277">
        <f t="shared" si="1"/>
        <v>1441.3332374999998</v>
      </c>
      <c r="I33" s="277">
        <f t="shared" si="1"/>
        <v>1491.7799008124996</v>
      </c>
      <c r="J33" s="277">
        <f t="shared" si="1"/>
        <v>1543.9921973409369</v>
      </c>
      <c r="K33"/>
    </row>
    <row r="34" spans="1:11" ht="15" x14ac:dyDescent="0.2">
      <c r="A34" s="13"/>
      <c r="B34" s="44" t="s">
        <v>1</v>
      </c>
      <c r="C34" s="81"/>
      <c r="E34" s="142">
        <f t="shared" ref="E34" si="2">E33/D33-1</f>
        <v>4.0000000000000036E-2</v>
      </c>
      <c r="F34" s="278">
        <v>3.5000000000000003E-2</v>
      </c>
      <c r="G34" s="135">
        <f>F34</f>
        <v>3.5000000000000003E-2</v>
      </c>
      <c r="H34" s="135">
        <f t="shared" ref="H34:J34" si="3">G34</f>
        <v>3.5000000000000003E-2</v>
      </c>
      <c r="I34" s="135">
        <f t="shared" si="3"/>
        <v>3.5000000000000003E-2</v>
      </c>
      <c r="J34" s="135">
        <f t="shared" si="3"/>
        <v>3.5000000000000003E-2</v>
      </c>
      <c r="K34"/>
    </row>
    <row r="35" spans="1:11" ht="15" x14ac:dyDescent="0.2">
      <c r="A35" s="13"/>
      <c r="B35" s="40" t="s">
        <v>6</v>
      </c>
      <c r="C35" s="81"/>
      <c r="D35" s="39">
        <f t="shared" ref="D35:J35" si="4">-D37*D33</f>
        <v>-1000</v>
      </c>
      <c r="E35" s="143">
        <f t="shared" si="4"/>
        <v>-1040</v>
      </c>
      <c r="F35" s="136">
        <f t="shared" si="4"/>
        <v>-1076.4000000000001</v>
      </c>
      <c r="G35" s="39">
        <f t="shared" si="4"/>
        <v>-1114.0740000000001</v>
      </c>
      <c r="H35" s="39">
        <f t="shared" si="4"/>
        <v>-1153.0665899999999</v>
      </c>
      <c r="I35" s="39">
        <f t="shared" si="4"/>
        <v>-1193.4239206499997</v>
      </c>
      <c r="J35" s="39">
        <f t="shared" si="4"/>
        <v>-1235.1937578727495</v>
      </c>
      <c r="K35"/>
    </row>
    <row r="36" spans="1:11" ht="15" x14ac:dyDescent="0.2">
      <c r="A36" s="13"/>
      <c r="B36" s="119" t="s">
        <v>4</v>
      </c>
      <c r="C36" s="120"/>
      <c r="D36" s="121">
        <f t="shared" ref="D36:J36" si="5">D33+D35</f>
        <v>250</v>
      </c>
      <c r="E36" s="144">
        <f t="shared" si="5"/>
        <v>260</v>
      </c>
      <c r="F36" s="121">
        <f t="shared" si="5"/>
        <v>269.09999999999991</v>
      </c>
      <c r="G36" s="121">
        <f t="shared" si="5"/>
        <v>278.5184999999999</v>
      </c>
      <c r="H36" s="121">
        <f t="shared" si="5"/>
        <v>288.26664749999986</v>
      </c>
      <c r="I36" s="121">
        <f t="shared" si="5"/>
        <v>298.35598016249992</v>
      </c>
      <c r="J36" s="121">
        <f t="shared" si="5"/>
        <v>308.79843946818733</v>
      </c>
      <c r="K36"/>
    </row>
    <row r="37" spans="1:11" ht="15" x14ac:dyDescent="0.2">
      <c r="A37" s="13"/>
      <c r="B37" s="44" t="s">
        <v>5</v>
      </c>
      <c r="C37" s="81"/>
      <c r="D37" s="122">
        <v>0.8</v>
      </c>
      <c r="E37" s="145">
        <f t="shared" ref="E37:J37" si="6">D37</f>
        <v>0.8</v>
      </c>
      <c r="F37" s="137">
        <f t="shared" si="6"/>
        <v>0.8</v>
      </c>
      <c r="G37" s="50">
        <f t="shared" si="6"/>
        <v>0.8</v>
      </c>
      <c r="H37" s="50">
        <f t="shared" si="6"/>
        <v>0.8</v>
      </c>
      <c r="I37" s="50">
        <f t="shared" si="6"/>
        <v>0.8</v>
      </c>
      <c r="J37" s="50">
        <f t="shared" si="6"/>
        <v>0.8</v>
      </c>
      <c r="K37"/>
    </row>
    <row r="38" spans="1:11" ht="15" x14ac:dyDescent="0.2">
      <c r="A38" s="13"/>
      <c r="B38" s="40" t="s">
        <v>7</v>
      </c>
      <c r="C38" s="81"/>
      <c r="D38" s="290">
        <v>-50</v>
      </c>
      <c r="E38" s="143">
        <v>-50</v>
      </c>
      <c r="F38" s="136">
        <v>-50</v>
      </c>
      <c r="G38" s="39">
        <v>-50</v>
      </c>
      <c r="H38" s="39">
        <v>-50</v>
      </c>
      <c r="I38" s="39">
        <v>-50</v>
      </c>
      <c r="J38" s="39">
        <v>-50</v>
      </c>
      <c r="K38"/>
    </row>
    <row r="39" spans="1:11" ht="15" x14ac:dyDescent="0.2">
      <c r="A39" s="13"/>
      <c r="B39" s="286" t="s">
        <v>10</v>
      </c>
      <c r="C39" s="287"/>
      <c r="D39" s="289">
        <f t="shared" ref="D39:J39" si="7">D36+D38</f>
        <v>200</v>
      </c>
      <c r="E39" s="288">
        <f t="shared" si="7"/>
        <v>210</v>
      </c>
      <c r="F39" s="175">
        <f t="shared" si="7"/>
        <v>219.09999999999991</v>
      </c>
      <c r="G39" s="175">
        <f t="shared" si="7"/>
        <v>228.5184999999999</v>
      </c>
      <c r="H39" s="175">
        <f t="shared" si="7"/>
        <v>238.26664749999986</v>
      </c>
      <c r="I39" s="175">
        <f t="shared" si="7"/>
        <v>248.35598016249992</v>
      </c>
      <c r="J39" s="175">
        <f t="shared" si="7"/>
        <v>258.79843946818733</v>
      </c>
      <c r="K39"/>
    </row>
    <row r="40" spans="1:11" ht="15" x14ac:dyDescent="0.2">
      <c r="A40" s="13"/>
      <c r="B40" s="291" t="s">
        <v>5</v>
      </c>
      <c r="C40" s="292"/>
      <c r="D40" s="293">
        <f>D39/D$33</f>
        <v>0.16</v>
      </c>
      <c r="E40" s="294">
        <f t="shared" ref="E40:J40" si="8">E39/E$33</f>
        <v>0.16153846153846155</v>
      </c>
      <c r="F40" s="293">
        <f t="shared" si="8"/>
        <v>0.1628390932738758</v>
      </c>
      <c r="G40" s="293">
        <f t="shared" si="8"/>
        <v>0.16409574229359983</v>
      </c>
      <c r="H40" s="293">
        <f t="shared" si="8"/>
        <v>0.16530989593584522</v>
      </c>
      <c r="I40" s="293">
        <f t="shared" si="8"/>
        <v>0.1664829912423626</v>
      </c>
      <c r="J40" s="293">
        <f t="shared" si="8"/>
        <v>0.1676164166592875</v>
      </c>
    </row>
    <row r="41" spans="1:11" ht="15" x14ac:dyDescent="0.2">
      <c r="A41" s="13"/>
      <c r="B41" s="40" t="s">
        <v>9</v>
      </c>
      <c r="C41" s="81"/>
      <c r="D41" s="172">
        <v>-50</v>
      </c>
      <c r="E41" s="143">
        <f t="shared" ref="E41:J41" si="9">$D41/$D33*E33</f>
        <v>-52</v>
      </c>
      <c r="F41" s="136">
        <f t="shared" si="9"/>
        <v>-53.82</v>
      </c>
      <c r="G41" s="39">
        <f t="shared" si="9"/>
        <v>-55.703699999999998</v>
      </c>
      <c r="H41" s="39">
        <f t="shared" si="9"/>
        <v>-57.653329499999991</v>
      </c>
      <c r="I41" s="39">
        <f t="shared" si="9"/>
        <v>-59.671196032499985</v>
      </c>
      <c r="J41" s="39">
        <f t="shared" si="9"/>
        <v>-61.759687893637476</v>
      </c>
      <c r="K41"/>
    </row>
    <row r="42" spans="1:11" ht="15" x14ac:dyDescent="0.2">
      <c r="A42" s="13"/>
      <c r="B42" s="119" t="s">
        <v>8</v>
      </c>
      <c r="C42" s="120"/>
      <c r="D42" s="126">
        <f t="shared" ref="D42:J42" si="10">D39+D41</f>
        <v>150</v>
      </c>
      <c r="E42" s="146">
        <f t="shared" si="10"/>
        <v>158</v>
      </c>
      <c r="F42" s="126">
        <f t="shared" si="10"/>
        <v>165.27999999999992</v>
      </c>
      <c r="G42" s="126">
        <f t="shared" si="10"/>
        <v>172.81479999999991</v>
      </c>
      <c r="H42" s="126">
        <f t="shared" si="10"/>
        <v>180.61331799999988</v>
      </c>
      <c r="I42" s="126">
        <f t="shared" si="10"/>
        <v>188.68478412999994</v>
      </c>
      <c r="J42" s="126">
        <f t="shared" si="10"/>
        <v>197.03875157454985</v>
      </c>
      <c r="K42"/>
    </row>
    <row r="43" spans="1:11" ht="15" x14ac:dyDescent="0.2">
      <c r="A43" s="13"/>
      <c r="B43" s="40" t="s">
        <v>11</v>
      </c>
      <c r="C43" s="81"/>
      <c r="D43" s="124">
        <f t="shared" ref="D43:J43" si="11">-D42*Tax</f>
        <v>-45</v>
      </c>
      <c r="E43" s="147">
        <f t="shared" si="11"/>
        <v>-47.4</v>
      </c>
      <c r="F43" s="138">
        <f t="shared" si="11"/>
        <v>-49.583999999999975</v>
      </c>
      <c r="G43" s="124">
        <f t="shared" si="11"/>
        <v>-51.84443999999997</v>
      </c>
      <c r="H43" s="124">
        <f t="shared" si="11"/>
        <v>-54.183995399999965</v>
      </c>
      <c r="I43" s="124">
        <f t="shared" si="11"/>
        <v>-56.605435238999981</v>
      </c>
      <c r="J43" s="124">
        <f t="shared" si="11"/>
        <v>-59.111625472364949</v>
      </c>
      <c r="K43"/>
    </row>
    <row r="44" spans="1:11" ht="5.0999999999999996" customHeight="1" x14ac:dyDescent="0.2">
      <c r="A44" s="13"/>
      <c r="B44" s="40"/>
      <c r="C44" s="81"/>
      <c r="D44" s="81"/>
      <c r="E44" s="141"/>
      <c r="F44" s="134"/>
      <c r="G44" s="81"/>
      <c r="H44" s="81"/>
      <c r="I44" s="81"/>
      <c r="J44" s="81"/>
      <c r="K44"/>
    </row>
    <row r="45" spans="1:11" ht="15" x14ac:dyDescent="0.2">
      <c r="A45" s="13"/>
      <c r="B45" s="40" t="s">
        <v>10</v>
      </c>
      <c r="C45" s="81"/>
      <c r="D45" s="124">
        <f t="shared" ref="D45:J45" si="12">D39</f>
        <v>200</v>
      </c>
      <c r="E45" s="147">
        <f t="shared" si="12"/>
        <v>210</v>
      </c>
      <c r="F45" s="138">
        <f t="shared" si="12"/>
        <v>219.09999999999991</v>
      </c>
      <c r="G45" s="124">
        <f t="shared" si="12"/>
        <v>228.5184999999999</v>
      </c>
      <c r="H45" s="124">
        <f t="shared" si="12"/>
        <v>238.26664749999986</v>
      </c>
      <c r="I45" s="124">
        <f t="shared" si="12"/>
        <v>248.35598016249992</v>
      </c>
      <c r="J45" s="124">
        <f t="shared" si="12"/>
        <v>258.79843946818733</v>
      </c>
      <c r="K45"/>
    </row>
    <row r="46" spans="1:11" ht="15" x14ac:dyDescent="0.2">
      <c r="A46" s="13"/>
      <c r="B46" s="40" t="s">
        <v>15</v>
      </c>
      <c r="C46" s="81"/>
      <c r="D46" s="39">
        <f t="shared" ref="D46:J46" si="13">D43</f>
        <v>-45</v>
      </c>
      <c r="E46" s="143">
        <f t="shared" si="13"/>
        <v>-47.4</v>
      </c>
      <c r="F46" s="136">
        <f t="shared" si="13"/>
        <v>-49.583999999999975</v>
      </c>
      <c r="G46" s="39">
        <f t="shared" si="13"/>
        <v>-51.84443999999997</v>
      </c>
      <c r="H46" s="39">
        <f t="shared" si="13"/>
        <v>-54.183995399999965</v>
      </c>
      <c r="I46" s="39">
        <f t="shared" si="13"/>
        <v>-56.605435238999981</v>
      </c>
      <c r="J46" s="39">
        <f t="shared" si="13"/>
        <v>-59.111625472364949</v>
      </c>
      <c r="K46"/>
    </row>
    <row r="47" spans="1:11" ht="15" x14ac:dyDescent="0.2">
      <c r="A47" s="13"/>
      <c r="B47" s="40" t="s">
        <v>16</v>
      </c>
      <c r="C47" s="81"/>
      <c r="D47" s="172">
        <v>-50</v>
      </c>
      <c r="E47" s="143">
        <f>$D47/$D33*E33</f>
        <v>-52</v>
      </c>
      <c r="F47" s="136">
        <f t="shared" ref="F47:J47" si="14">E$47/E$33*F33</f>
        <v>-53.82</v>
      </c>
      <c r="G47" s="39">
        <f t="shared" si="14"/>
        <v>-55.703699999999998</v>
      </c>
      <c r="H47" s="39">
        <f t="shared" si="14"/>
        <v>-57.653329499999991</v>
      </c>
      <c r="I47" s="39">
        <f t="shared" si="14"/>
        <v>-59.671196032499985</v>
      </c>
      <c r="J47" s="39">
        <f t="shared" si="14"/>
        <v>-61.759687893637476</v>
      </c>
      <c r="K47"/>
    </row>
    <row r="48" spans="1:11" ht="15" x14ac:dyDescent="0.2">
      <c r="A48" s="13"/>
      <c r="B48" s="40" t="s">
        <v>17</v>
      </c>
      <c r="C48" s="81"/>
      <c r="D48" s="39">
        <v>-15</v>
      </c>
      <c r="E48" s="143">
        <f>D48</f>
        <v>-15</v>
      </c>
      <c r="F48" s="136">
        <f t="shared" ref="F48:J48" si="15">E48</f>
        <v>-15</v>
      </c>
      <c r="G48" s="39">
        <f t="shared" si="15"/>
        <v>-15</v>
      </c>
      <c r="H48" s="39">
        <f t="shared" si="15"/>
        <v>-15</v>
      </c>
      <c r="I48" s="39">
        <f t="shared" si="15"/>
        <v>-15</v>
      </c>
      <c r="J48" s="39">
        <f t="shared" si="15"/>
        <v>-15</v>
      </c>
      <c r="K48"/>
    </row>
    <row r="49" spans="1:11" ht="15" x14ac:dyDescent="0.2">
      <c r="A49" s="13"/>
      <c r="B49" s="40" t="s">
        <v>98</v>
      </c>
      <c r="C49" s="81"/>
      <c r="D49" s="39"/>
      <c r="E49" s="143"/>
      <c r="F49" s="136">
        <f>-D26*SUM(F45:F48)</f>
        <v>-25.173999999999985</v>
      </c>
      <c r="G49" s="39"/>
      <c r="H49" s="39"/>
      <c r="I49" s="39"/>
      <c r="J49" s="39"/>
      <c r="K49"/>
    </row>
    <row r="50" spans="1:11" ht="15" x14ac:dyDescent="0.2">
      <c r="A50" s="13"/>
      <c r="B50" s="41" t="s">
        <v>18</v>
      </c>
      <c r="C50" s="123"/>
      <c r="D50" s="125">
        <f>SUM(D45:D48)</f>
        <v>90</v>
      </c>
      <c r="E50" s="148">
        <f>SUM(E45:E48)</f>
        <v>95.6</v>
      </c>
      <c r="F50" s="151">
        <f>SUM(F45:F49)</f>
        <v>75.521999999999963</v>
      </c>
      <c r="G50" s="151">
        <f t="shared" ref="G50:J50" si="16">SUM(G45:G49)</f>
        <v>105.97035999999994</v>
      </c>
      <c r="H50" s="151">
        <f t="shared" si="16"/>
        <v>111.42932259999992</v>
      </c>
      <c r="I50" s="151">
        <f t="shared" si="16"/>
        <v>117.07934889099997</v>
      </c>
      <c r="J50" s="151">
        <f t="shared" si="16"/>
        <v>122.9271261021849</v>
      </c>
      <c r="K50"/>
    </row>
    <row r="51" spans="1:11" ht="5.0999999999999996" customHeight="1" x14ac:dyDescent="0.2">
      <c r="A51" s="13"/>
      <c r="B51" s="152"/>
      <c r="C51" s="153"/>
      <c r="D51" s="154"/>
      <c r="E51" s="155"/>
      <c r="F51" s="156"/>
      <c r="G51" s="156"/>
      <c r="H51" s="156"/>
      <c r="I51" s="156"/>
      <c r="J51" s="156"/>
      <c r="K51" s="156"/>
    </row>
    <row r="52" spans="1:11" ht="15" x14ac:dyDescent="0.2">
      <c r="A52" s="13"/>
      <c r="B52" s="127" t="s">
        <v>99</v>
      </c>
      <c r="C52" s="127"/>
      <c r="D52" s="127"/>
      <c r="E52" s="149"/>
      <c r="F52" s="133">
        <f>D26/D27</f>
        <v>0.125</v>
      </c>
      <c r="G52" s="133">
        <f>0.5*2/D27+D26</f>
        <v>0.75</v>
      </c>
      <c r="H52" s="133">
        <f>G52+1</f>
        <v>1.75</v>
      </c>
      <c r="I52" s="133">
        <f t="shared" ref="I52:J52" si="17">H52+1</f>
        <v>2.75</v>
      </c>
      <c r="J52" s="133">
        <f t="shared" si="17"/>
        <v>3.75</v>
      </c>
    </row>
    <row r="53" spans="1:11" ht="15" x14ac:dyDescent="0.2">
      <c r="A53" s="13"/>
      <c r="B53" s="127" t="s">
        <v>82</v>
      </c>
      <c r="C53" s="127"/>
      <c r="D53" s="127"/>
      <c r="E53" s="149"/>
      <c r="F53" s="133">
        <f t="shared" ref="F53:J53" ca="1" si="18">1/(1+WACC)^F52</f>
        <v>0.98932922686677871</v>
      </c>
      <c r="G53" s="128">
        <f t="shared" ca="1" si="18"/>
        <v>0.93765923520403127</v>
      </c>
      <c r="H53" s="128">
        <f t="shared" ca="1" si="18"/>
        <v>0.86054136157406502</v>
      </c>
      <c r="I53" s="128">
        <f t="shared" ca="1" si="18"/>
        <v>0.78976605484892282</v>
      </c>
      <c r="J53" s="128">
        <f t="shared" ca="1" si="18"/>
        <v>0.72481167000587976</v>
      </c>
    </row>
    <row r="54" spans="1:11" ht="15" x14ac:dyDescent="0.2">
      <c r="A54" s="13"/>
      <c r="B54" s="127" t="s">
        <v>237</v>
      </c>
      <c r="C54" s="127"/>
      <c r="D54" s="127"/>
      <c r="E54" s="158"/>
      <c r="F54" s="133"/>
      <c r="G54" s="128"/>
      <c r="H54" s="128"/>
      <c r="I54" s="128"/>
      <c r="J54" s="128">
        <f>J52+IF(D27=2,0.5,0)</f>
        <v>4.25</v>
      </c>
      <c r="K54" s="128"/>
    </row>
    <row r="55" spans="1:11" ht="15" x14ac:dyDescent="0.2">
      <c r="A55" s="13"/>
      <c r="B55" s="127" t="s">
        <v>238</v>
      </c>
      <c r="C55" s="127"/>
      <c r="D55" s="127"/>
      <c r="E55" s="158"/>
      <c r="F55" s="133"/>
      <c r="G55" s="128"/>
      <c r="H55" s="128"/>
      <c r="I55" s="128"/>
      <c r="J55" s="128">
        <f ca="1">1/(1+WACC)^J54</f>
        <v>0.69436613896765231</v>
      </c>
      <c r="K55" s="128"/>
    </row>
    <row r="56" spans="1:11" ht="5.0999999999999996" customHeight="1" x14ac:dyDescent="0.2">
      <c r="A56" s="13"/>
      <c r="E56" s="139"/>
      <c r="F56" s="139"/>
    </row>
    <row r="57" spans="1:11" ht="15" x14ac:dyDescent="0.2">
      <c r="A57" s="13"/>
      <c r="B57" s="24" t="s">
        <v>95</v>
      </c>
      <c r="E57" s="139"/>
      <c r="F57" s="130"/>
      <c r="J57" s="49">
        <f>J39*H25</f>
        <v>2432.705331000961</v>
      </c>
    </row>
    <row r="58" spans="1:11" ht="15" x14ac:dyDescent="0.2">
      <c r="A58" s="13"/>
      <c r="B58" s="24" t="s">
        <v>96</v>
      </c>
      <c r="E58" s="139"/>
      <c r="F58" s="130"/>
      <c r="J58" s="39">
        <f ca="1">J50*(1+H26)/(WACC-H26)</f>
        <v>2329.5492370475904</v>
      </c>
    </row>
    <row r="59" spans="1:11" ht="5.0999999999999996" customHeight="1" x14ac:dyDescent="0.2">
      <c r="A59" s="13"/>
      <c r="E59" s="139"/>
      <c r="F59" s="139"/>
    </row>
    <row r="60" spans="1:11" ht="15" x14ac:dyDescent="0.2">
      <c r="A60" s="13"/>
      <c r="B60" s="16" t="s">
        <v>83</v>
      </c>
      <c r="D60" s="129">
        <f ca="1">SUMPRODUCT(F50:J50,F53:J53)</f>
        <v>451.53406060988198</v>
      </c>
      <c r="E60" s="139"/>
      <c r="F60"/>
      <c r="G60"/>
      <c r="H60"/>
      <c r="I60"/>
      <c r="J60"/>
      <c r="K60"/>
    </row>
    <row r="61" spans="1:11" ht="15" x14ac:dyDescent="0.2">
      <c r="A61" s="13"/>
      <c r="B61" s="24" t="str">
        <f>"PV "&amp;B57</f>
        <v>PV TV (Exit Multiple)</v>
      </c>
      <c r="D61" s="39">
        <f ca="1">J57*J55</f>
        <v>1689.1882079331619</v>
      </c>
      <c r="K61" s="129"/>
    </row>
    <row r="62" spans="1:11" ht="15" x14ac:dyDescent="0.2">
      <c r="A62" s="13"/>
      <c r="B62" s="24" t="str">
        <f>"PV "&amp;B58</f>
        <v>PV TV (PGR)</v>
      </c>
      <c r="D62" s="39">
        <f ca="1">J58*J53</f>
        <v>1688.484472865387</v>
      </c>
    </row>
    <row r="63" spans="1:11" ht="15" x14ac:dyDescent="0.2">
      <c r="A63" s="13"/>
      <c r="B63" s="24"/>
      <c r="D63" s="39"/>
    </row>
    <row r="64" spans="1:11" ht="15" x14ac:dyDescent="0.2">
      <c r="A64" s="13"/>
      <c r="B64" s="85" t="s">
        <v>88</v>
      </c>
      <c r="C64" s="85"/>
      <c r="D64" s="85"/>
      <c r="F64" s="86" t="s">
        <v>89</v>
      </c>
      <c r="G64" s="86"/>
      <c r="H64" s="86"/>
      <c r="I64"/>
    </row>
    <row r="65" spans="1:8" ht="15" x14ac:dyDescent="0.2">
      <c r="A65" s="13"/>
      <c r="B65" s="16" t="s">
        <v>87</v>
      </c>
      <c r="D65" s="129">
        <f ca="1">$D60+D61</f>
        <v>2140.7222685430438</v>
      </c>
      <c r="F65" s="16" t="str">
        <f t="shared" ref="F65:F72" si="19">B65</f>
        <v>Enterprise Value</v>
      </c>
      <c r="H65" s="129">
        <f ca="1">$D60+D62</f>
        <v>2140.0185334752691</v>
      </c>
    </row>
    <row r="66" spans="1:8" ht="15" x14ac:dyDescent="0.2">
      <c r="A66" s="13"/>
      <c r="B66" s="16" t="s">
        <v>90</v>
      </c>
      <c r="D66" s="25">
        <f>-SUM(E8:E9)</f>
        <v>-1400</v>
      </c>
      <c r="F66" s="16" t="str">
        <f t="shared" si="19"/>
        <v>Less: Net Debt</v>
      </c>
      <c r="H66" s="25">
        <f>D66</f>
        <v>-1400</v>
      </c>
    </row>
    <row r="67" spans="1:8" ht="15" x14ac:dyDescent="0.2">
      <c r="A67" s="13"/>
      <c r="B67" s="16" t="s">
        <v>235</v>
      </c>
      <c r="D67" s="25">
        <f>E10</f>
        <v>0</v>
      </c>
      <c r="F67" s="16" t="str">
        <f t="shared" si="19"/>
        <v>Less: Minority Interest</v>
      </c>
      <c r="H67" s="25">
        <f>D67</f>
        <v>0</v>
      </c>
    </row>
    <row r="68" spans="1:8" ht="15" x14ac:dyDescent="0.2">
      <c r="A68" s="13"/>
      <c r="B68" s="16" t="s">
        <v>236</v>
      </c>
      <c r="D68" s="25">
        <f>E11</f>
        <v>0</v>
      </c>
      <c r="F68" s="16" t="str">
        <f t="shared" si="19"/>
        <v>Less: Preferred Stock</v>
      </c>
      <c r="H68" s="25">
        <f>D68</f>
        <v>0</v>
      </c>
    </row>
    <row r="69" spans="1:8" ht="15" x14ac:dyDescent="0.2">
      <c r="A69" s="13"/>
      <c r="B69" s="16" t="s">
        <v>91</v>
      </c>
      <c r="D69" s="25">
        <f ca="1">IF(Circ,IF($I$16&lt;D$72,0,-$G$16),0)</f>
        <v>-36</v>
      </c>
      <c r="F69" s="16" t="str">
        <f t="shared" si="19"/>
        <v>Less: Convertible</v>
      </c>
      <c r="H69" s="25">
        <f ca="1">IF(Circ,IF($I$16&lt;H$72,0,-$G$16),0)</f>
        <v>-36</v>
      </c>
    </row>
    <row r="70" spans="1:8" ht="15" x14ac:dyDescent="0.2">
      <c r="A70" s="13"/>
      <c r="B70" s="32" t="s">
        <v>92</v>
      </c>
      <c r="C70" s="32"/>
      <c r="D70" s="131">
        <f ca="1">SUM(D65:D69)</f>
        <v>704.72226854304381</v>
      </c>
      <c r="F70" s="32" t="str">
        <f t="shared" si="19"/>
        <v>Equity Value</v>
      </c>
      <c r="G70" s="32"/>
      <c r="H70" s="131">
        <f ca="1">SUM(H65:H69)</f>
        <v>704.01853347526912</v>
      </c>
    </row>
    <row r="71" spans="1:8" ht="15" x14ac:dyDescent="0.2">
      <c r="A71" s="13"/>
      <c r="B71" s="16" t="s">
        <v>93</v>
      </c>
      <c r="D71" s="31">
        <f ca="1">$J$5+IF(Circ,TSM(D$72,$H$9:$H$11,$I$9:$I$11)+IF($G$16&lt;D$72,$H$16,0),0)</f>
        <v>90.048000000000002</v>
      </c>
      <c r="F71" s="16" t="str">
        <f t="shared" si="19"/>
        <v>Diluted Shares</v>
      </c>
      <c r="H71" s="31">
        <f ca="1">$J$5+IF(Circ,TSM(H$72,$H$9:$H$11,$I$9:$I$11)+IF($G$16&lt;H$72,$H$16,0),0)</f>
        <v>90.048000000000002</v>
      </c>
    </row>
    <row r="72" spans="1:8" ht="15" x14ac:dyDescent="0.2">
      <c r="A72" s="13"/>
      <c r="B72" s="32" t="s">
        <v>94</v>
      </c>
      <c r="C72" s="32"/>
      <c r="D72" s="132">
        <f ca="1">D70/D71</f>
        <v>7.8260735223774409</v>
      </c>
      <c r="E72"/>
      <c r="F72" s="32" t="str">
        <f t="shared" si="19"/>
        <v>Equity Value per Share</v>
      </c>
      <c r="G72" s="32"/>
      <c r="H72" s="132">
        <f ca="1">H70/H71</f>
        <v>7.8182584119055294</v>
      </c>
    </row>
    <row r="73" spans="1:8" ht="15" x14ac:dyDescent="0.2">
      <c r="A73" s="13"/>
    </row>
    <row r="74" spans="1:8" ht="15" x14ac:dyDescent="0.2">
      <c r="A74" s="13"/>
      <c r="B74" s="157" t="s">
        <v>100</v>
      </c>
      <c r="D74" s="105">
        <f ca="1">ImpliedPGR($H$25,$J$39,$J$50,WACC,$D$27)</f>
        <v>3.5021613418799703E-2</v>
      </c>
      <c r="F74" s="16" t="s">
        <v>101</v>
      </c>
      <c r="H74" s="164">
        <f ca="1">ImpliedMultiple($H$26,$J$39,$J$50,WACC,$D$27)</f>
        <v>9.3960838528199417</v>
      </c>
    </row>
    <row r="75" spans="1:8" ht="15" x14ac:dyDescent="0.2">
      <c r="A75" s="13"/>
      <c r="B75" s="157"/>
      <c r="D75" s="50"/>
    </row>
    <row r="76" spans="1:8" ht="15" x14ac:dyDescent="0.2">
      <c r="A76" s="13"/>
    </row>
    <row r="77" spans="1:8" ht="15" x14ac:dyDescent="0.2">
      <c r="A77" s="13"/>
    </row>
    <row r="78" spans="1:8" ht="15" x14ac:dyDescent="0.2">
      <c r="A78" s="13"/>
    </row>
    <row r="79" spans="1:8" ht="15" x14ac:dyDescent="0.2">
      <c r="A79" s="13"/>
    </row>
    <row r="80" spans="1:8" ht="15" x14ac:dyDescent="0.2">
      <c r="A80" s="13"/>
    </row>
    <row r="81" spans="1:1" ht="15" x14ac:dyDescent="0.2">
      <c r="A81" s="13"/>
    </row>
    <row r="82" spans="1:1" ht="15" x14ac:dyDescent="0.2">
      <c r="A82" s="13"/>
    </row>
    <row r="83" spans="1:1" ht="15" x14ac:dyDescent="0.2">
      <c r="A83" s="13"/>
    </row>
    <row r="84" spans="1:1" ht="15" x14ac:dyDescent="0.2">
      <c r="A84" s="13"/>
    </row>
    <row r="85" spans="1:1" ht="15" x14ac:dyDescent="0.2">
      <c r="A85" s="13"/>
    </row>
    <row r="86" spans="1:1" ht="15" x14ac:dyDescent="0.2">
      <c r="A86" s="13"/>
    </row>
    <row r="87" spans="1:1" ht="15" x14ac:dyDescent="0.2">
      <c r="A87" s="13"/>
    </row>
    <row r="88" spans="1:1" ht="15" x14ac:dyDescent="0.2">
      <c r="A88" s="13"/>
    </row>
    <row r="89" spans="1:1" ht="15" x14ac:dyDescent="0.2">
      <c r="A89" s="13"/>
    </row>
    <row r="90" spans="1:1" ht="15" x14ac:dyDescent="0.2">
      <c r="A90" s="13"/>
    </row>
    <row r="91" spans="1:1" ht="15" x14ac:dyDescent="0.2">
      <c r="A91" s="13"/>
    </row>
    <row r="92" spans="1:1" ht="15" x14ac:dyDescent="0.2">
      <c r="A92" s="13"/>
    </row>
    <row r="93" spans="1:1" ht="15" x14ac:dyDescent="0.2">
      <c r="A93" s="13"/>
    </row>
    <row r="94" spans="1:1" ht="15" x14ac:dyDescent="0.2">
      <c r="A94" s="13"/>
    </row>
    <row r="95" spans="1:1" ht="15" x14ac:dyDescent="0.2">
      <c r="A95" s="13"/>
    </row>
    <row r="96" spans="1:1" ht="15" x14ac:dyDescent="0.2">
      <c r="A96" s="13"/>
    </row>
    <row r="97" spans="1:1" ht="15" x14ac:dyDescent="0.2">
      <c r="A97" s="13"/>
    </row>
    <row r="98" spans="1:1" ht="15" x14ac:dyDescent="0.2">
      <c r="A98" s="13"/>
    </row>
    <row r="99" spans="1:1" ht="15" x14ac:dyDescent="0.2">
      <c r="A99" s="13"/>
    </row>
    <row r="100" spans="1:1" ht="15" x14ac:dyDescent="0.2">
      <c r="A100" s="13"/>
    </row>
    <row r="101" spans="1:1" ht="15" x14ac:dyDescent="0.2">
      <c r="A101" s="13"/>
    </row>
    <row r="102" spans="1:1" ht="15" x14ac:dyDescent="0.2">
      <c r="A102" s="13"/>
    </row>
    <row r="103" spans="1:1" ht="15" x14ac:dyDescent="0.2">
      <c r="A103" s="13"/>
    </row>
    <row r="104" spans="1:1" ht="15" x14ac:dyDescent="0.2">
      <c r="A104" s="13"/>
    </row>
    <row r="105" spans="1:1" ht="15" x14ac:dyDescent="0.2">
      <c r="A105" s="13"/>
    </row>
    <row r="106" spans="1:1" ht="15" x14ac:dyDescent="0.2">
      <c r="A106" s="13"/>
    </row>
    <row r="107" spans="1:1" ht="15" x14ac:dyDescent="0.2">
      <c r="A107" s="13"/>
    </row>
    <row r="108" spans="1:1" ht="15" x14ac:dyDescent="0.2">
      <c r="A108" s="13"/>
    </row>
    <row r="109" spans="1:1" ht="15" x14ac:dyDescent="0.2">
      <c r="A109" s="13"/>
    </row>
    <row r="110" spans="1:1" ht="15" x14ac:dyDescent="0.2">
      <c r="A110" s="13"/>
    </row>
    <row r="111" spans="1:1" ht="15" x14ac:dyDescent="0.2">
      <c r="A111" s="13"/>
    </row>
    <row r="112" spans="1:1" ht="15" x14ac:dyDescent="0.2">
      <c r="A112" s="13"/>
    </row>
    <row r="113" spans="1:1" ht="15" x14ac:dyDescent="0.2">
      <c r="A113" s="13"/>
    </row>
    <row r="114" spans="1:1" ht="15" x14ac:dyDescent="0.2">
      <c r="A114" s="13"/>
    </row>
    <row r="115" spans="1:1" ht="15" x14ac:dyDescent="0.2">
      <c r="A115" s="13"/>
    </row>
    <row r="116" spans="1:1" ht="15" x14ac:dyDescent="0.2">
      <c r="A116" s="13"/>
    </row>
    <row r="117" spans="1:1" ht="15" x14ac:dyDescent="0.2">
      <c r="A117" s="13"/>
    </row>
    <row r="118" spans="1:1" ht="15" x14ac:dyDescent="0.2">
      <c r="A118" s="13"/>
    </row>
    <row r="119" spans="1:1" ht="15" x14ac:dyDescent="0.2">
      <c r="A119" s="13"/>
    </row>
    <row r="120" spans="1:1" ht="15" x14ac:dyDescent="0.2">
      <c r="A120" s="13"/>
    </row>
    <row r="121" spans="1:1" ht="15" x14ac:dyDescent="0.2">
      <c r="A121" s="13"/>
    </row>
    <row r="122" spans="1:1" ht="15" x14ac:dyDescent="0.2">
      <c r="A122" s="13"/>
    </row>
    <row r="123" spans="1:1" ht="15" x14ac:dyDescent="0.2">
      <c r="A123" s="13"/>
    </row>
    <row r="124" spans="1:1" ht="15" x14ac:dyDescent="0.2">
      <c r="A124" s="13"/>
    </row>
    <row r="125" spans="1:1" ht="15" x14ac:dyDescent="0.2">
      <c r="A125" s="13"/>
    </row>
    <row r="126" spans="1:1" ht="15" x14ac:dyDescent="0.2">
      <c r="A126" s="13"/>
    </row>
    <row r="127" spans="1:1" ht="15" x14ac:dyDescent="0.2">
      <c r="A127" s="13"/>
    </row>
    <row r="128" spans="1:1" ht="15" x14ac:dyDescent="0.2">
      <c r="A128" s="13"/>
    </row>
    <row r="129" spans="1:1" ht="15" x14ac:dyDescent="0.2">
      <c r="A129" s="13"/>
    </row>
    <row r="130" spans="1:1" ht="15" x14ac:dyDescent="0.2">
      <c r="A130" s="13"/>
    </row>
    <row r="131" spans="1:1" ht="15" x14ac:dyDescent="0.2">
      <c r="A131" s="13"/>
    </row>
    <row r="132" spans="1:1" ht="15" x14ac:dyDescent="0.2">
      <c r="A132" s="13"/>
    </row>
    <row r="133" spans="1:1" ht="15" x14ac:dyDescent="0.2">
      <c r="A133" s="13"/>
    </row>
    <row r="134" spans="1:1" ht="15" x14ac:dyDescent="0.2">
      <c r="A134" s="13"/>
    </row>
    <row r="135" spans="1:1" ht="15" x14ac:dyDescent="0.2">
      <c r="A135" s="13"/>
    </row>
    <row r="136" spans="1:1" ht="15" x14ac:dyDescent="0.2">
      <c r="A136" s="13"/>
    </row>
    <row r="137" spans="1:1" ht="15" x14ac:dyDescent="0.2">
      <c r="A137" s="13"/>
    </row>
    <row r="138" spans="1:1" ht="15" x14ac:dyDescent="0.2">
      <c r="A138" s="13"/>
    </row>
    <row r="139" spans="1:1" ht="15" x14ac:dyDescent="0.2">
      <c r="A139" s="13"/>
    </row>
    <row r="140" spans="1:1" ht="15" x14ac:dyDescent="0.2">
      <c r="A140" s="13"/>
    </row>
    <row r="141" spans="1:1" ht="15" x14ac:dyDescent="0.2">
      <c r="A141" s="13"/>
    </row>
    <row r="142" spans="1:1" ht="15" x14ac:dyDescent="0.2">
      <c r="A142" s="13"/>
    </row>
    <row r="143" spans="1:1" ht="15" x14ac:dyDescent="0.2">
      <c r="A143" s="13"/>
    </row>
    <row r="144" spans="1:1" ht="15" x14ac:dyDescent="0.2">
      <c r="A144" s="13"/>
    </row>
    <row r="145" spans="1:1" ht="15" x14ac:dyDescent="0.2">
      <c r="A145" s="13"/>
    </row>
    <row r="146" spans="1:1" ht="15" x14ac:dyDescent="0.2">
      <c r="A146" s="13"/>
    </row>
    <row r="147" spans="1:1" ht="15" x14ac:dyDescent="0.2">
      <c r="A147" s="13"/>
    </row>
    <row r="148" spans="1:1" ht="15" x14ac:dyDescent="0.2">
      <c r="A148" s="13"/>
    </row>
    <row r="149" spans="1:1" ht="15" x14ac:dyDescent="0.2">
      <c r="A149" s="13"/>
    </row>
    <row r="150" spans="1:1" ht="15" x14ac:dyDescent="0.2">
      <c r="A150" s="13"/>
    </row>
    <row r="151" spans="1:1" ht="15" x14ac:dyDescent="0.2">
      <c r="A151" s="13"/>
    </row>
    <row r="152" spans="1:1" ht="15" x14ac:dyDescent="0.2">
      <c r="A152" s="13"/>
    </row>
    <row r="153" spans="1:1" ht="15" x14ac:dyDescent="0.2">
      <c r="A153" s="13"/>
    </row>
    <row r="154" spans="1:1" ht="15" x14ac:dyDescent="0.2">
      <c r="A154" s="13"/>
    </row>
    <row r="155" spans="1:1" ht="15" x14ac:dyDescent="0.2">
      <c r="A155" s="13"/>
    </row>
    <row r="156" spans="1:1" ht="15" x14ac:dyDescent="0.2">
      <c r="A156" s="13"/>
    </row>
    <row r="157" spans="1:1" ht="15" x14ac:dyDescent="0.2">
      <c r="A157" s="13"/>
    </row>
    <row r="158" spans="1:1" ht="15" x14ac:dyDescent="0.2">
      <c r="A158" s="13"/>
    </row>
    <row r="159" spans="1:1" ht="15" x14ac:dyDescent="0.2">
      <c r="A159" s="13"/>
    </row>
    <row r="160" spans="1:1" ht="15" x14ac:dyDescent="0.2">
      <c r="A160" s="13"/>
    </row>
    <row r="161" spans="1:1" ht="15" x14ac:dyDescent="0.2">
      <c r="A161" s="13"/>
    </row>
    <row r="162" spans="1:1" ht="15" x14ac:dyDescent="0.2">
      <c r="A162" s="13"/>
    </row>
    <row r="163" spans="1:1" ht="15" x14ac:dyDescent="0.2">
      <c r="A163" s="13"/>
    </row>
    <row r="164" spans="1:1" ht="15" x14ac:dyDescent="0.2">
      <c r="A164" s="13"/>
    </row>
    <row r="165" spans="1:1" ht="15" x14ac:dyDescent="0.2">
      <c r="A165" s="13"/>
    </row>
    <row r="166" spans="1:1" ht="15" x14ac:dyDescent="0.2">
      <c r="A166" s="13"/>
    </row>
    <row r="167" spans="1:1" ht="15" x14ac:dyDescent="0.2">
      <c r="A167" s="13"/>
    </row>
  </sheetData>
  <dataValidations count="2">
    <dataValidation type="list" allowBlank="1" showInputMessage="1" sqref="D25">
      <formula1>"3/31/2017,6/30/2017,9/30/2017,12/31/2017"</formula1>
    </dataValidation>
    <dataValidation type="list" allowBlank="1" showInputMessage="1" prompt="1: No mid-year_x000a_2: W/ mid-year" sqref="D27">
      <formula1>"1,2"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outlinePr summaryBelow="0" summaryRight="0"/>
  </sheetPr>
  <dimension ref="A1:AZ41"/>
  <sheetViews>
    <sheetView showGridLines="0" zoomScale="80" zoomScaleNormal="80" workbookViewId="0">
      <selection activeCell="D7" sqref="D7"/>
    </sheetView>
  </sheetViews>
  <sheetFormatPr defaultColWidth="12.7109375" defaultRowHeight="12.75" x14ac:dyDescent="0.2"/>
  <cols>
    <col min="1" max="1" width="2.7109375" style="18" customWidth="1"/>
    <col min="2" max="51" width="12.7109375" style="16"/>
    <col min="52" max="52" width="12.7109375" style="17"/>
    <col min="53" max="16384" width="12.7109375" style="16"/>
  </cols>
  <sheetData>
    <row r="1" spans="1:17" ht="30" customHeight="1" x14ac:dyDescent="0.25">
      <c r="A1" s="165"/>
      <c r="B1" s="22" t="s">
        <v>223</v>
      </c>
      <c r="C1" s="21"/>
      <c r="D1" s="21"/>
      <c r="E1" s="21"/>
      <c r="F1" s="21"/>
      <c r="G1" s="21"/>
      <c r="H1" s="21"/>
      <c r="I1" s="21"/>
      <c r="J1" s="21"/>
      <c r="K1" s="21"/>
      <c r="L1" s="21"/>
      <c r="M1" s="20"/>
      <c r="N1" s="20"/>
      <c r="O1" s="20"/>
      <c r="P1" s="20"/>
      <c r="Q1" s="20"/>
    </row>
    <row r="3" spans="1:17" x14ac:dyDescent="0.2">
      <c r="B3" s="16" t="s">
        <v>80</v>
      </c>
      <c r="D3" s="268">
        <v>43008</v>
      </c>
      <c r="G3" s="16" t="s">
        <v>19</v>
      </c>
      <c r="I3" s="271">
        <f>WACC2!$D$28</f>
        <v>8.7420892845103862E-2</v>
      </c>
    </row>
    <row r="4" spans="1:17" x14ac:dyDescent="0.2">
      <c r="B4" s="16" t="s">
        <v>226</v>
      </c>
      <c r="D4" s="178">
        <f>1-MONTH(D3)/12</f>
        <v>0.25</v>
      </c>
      <c r="G4" s="16" t="s">
        <v>85</v>
      </c>
      <c r="I4" s="272">
        <v>10.5</v>
      </c>
    </row>
    <row r="5" spans="1:17" x14ac:dyDescent="0.2">
      <c r="B5" s="16" t="s">
        <v>225</v>
      </c>
      <c r="D5" s="168">
        <v>2</v>
      </c>
      <c r="G5" s="16" t="s">
        <v>86</v>
      </c>
      <c r="I5" s="275">
        <v>3.1E-2</v>
      </c>
    </row>
    <row r="8" spans="1:17" x14ac:dyDescent="0.2">
      <c r="B8" s="19"/>
      <c r="D8" s="295">
        <f>DCF!D31</f>
        <v>2017</v>
      </c>
      <c r="E8" s="296">
        <f>D8+1</f>
        <v>2018</v>
      </c>
      <c r="F8" s="296">
        <f>E8+1</f>
        <v>2019</v>
      </c>
      <c r="G8" s="296">
        <f t="shared" ref="G8:I8" si="0">F8+1</f>
        <v>2020</v>
      </c>
      <c r="H8" s="296">
        <f t="shared" si="0"/>
        <v>2021</v>
      </c>
      <c r="I8" s="296">
        <f t="shared" si="0"/>
        <v>2022</v>
      </c>
    </row>
    <row r="9" spans="1:17" ht="5.0999999999999996" customHeight="1" x14ac:dyDescent="0.2">
      <c r="B9" s="19"/>
      <c r="D9" s="267"/>
      <c r="E9" s="181"/>
      <c r="F9" s="181"/>
      <c r="G9" s="181"/>
      <c r="H9" s="181"/>
      <c r="I9" s="181"/>
    </row>
    <row r="10" spans="1:17" x14ac:dyDescent="0.2">
      <c r="B10" s="16" t="s">
        <v>10</v>
      </c>
      <c r="D10" s="49">
        <v>100</v>
      </c>
      <c r="E10" s="49">
        <v>102</v>
      </c>
      <c r="F10" s="49">
        <v>105.06</v>
      </c>
      <c r="G10" s="49">
        <v>109.2624</v>
      </c>
      <c r="H10" s="49">
        <v>112.540272</v>
      </c>
      <c r="I10" s="49">
        <v>115.91648016000001</v>
      </c>
    </row>
    <row r="11" spans="1:17" x14ac:dyDescent="0.2">
      <c r="B11" s="16" t="s">
        <v>9</v>
      </c>
      <c r="D11" s="39">
        <v>-20</v>
      </c>
      <c r="E11" s="39">
        <f>D11/D10*E10</f>
        <v>-20.400000000000002</v>
      </c>
      <c r="F11" s="39">
        <f t="shared" ref="F11:I11" si="1">E11/E10*F10</f>
        <v>-21.012</v>
      </c>
      <c r="G11" s="39">
        <f t="shared" si="1"/>
        <v>-21.85248</v>
      </c>
      <c r="H11" s="39">
        <f t="shared" si="1"/>
        <v>-22.508054400000002</v>
      </c>
      <c r="I11" s="39">
        <f t="shared" si="1"/>
        <v>-23.183296032000001</v>
      </c>
    </row>
    <row r="12" spans="1:17" x14ac:dyDescent="0.2">
      <c r="B12" s="16" t="s">
        <v>8</v>
      </c>
      <c r="D12" s="39">
        <f>SUM(D10:D11)</f>
        <v>80</v>
      </c>
      <c r="E12" s="39">
        <f t="shared" ref="E12:I12" si="2">SUM(E10:E11)</f>
        <v>81.599999999999994</v>
      </c>
      <c r="F12" s="39">
        <f t="shared" si="2"/>
        <v>84.048000000000002</v>
      </c>
      <c r="G12" s="39">
        <f t="shared" si="2"/>
        <v>87.40992</v>
      </c>
      <c r="H12" s="39">
        <f t="shared" si="2"/>
        <v>90.032217599999996</v>
      </c>
      <c r="I12" s="39">
        <f t="shared" si="2"/>
        <v>92.733184128000005</v>
      </c>
    </row>
    <row r="13" spans="1:17" x14ac:dyDescent="0.2">
      <c r="B13" s="16" t="s">
        <v>224</v>
      </c>
      <c r="C13" s="179">
        <v>0.3</v>
      </c>
      <c r="D13" s="39">
        <f>-$C13*D12</f>
        <v>-24</v>
      </c>
      <c r="E13" s="39">
        <f t="shared" ref="E13:I13" si="3">-$C13*E12</f>
        <v>-24.479999999999997</v>
      </c>
      <c r="F13" s="39">
        <f t="shared" si="3"/>
        <v>-25.214400000000001</v>
      </c>
      <c r="G13" s="39">
        <f t="shared" si="3"/>
        <v>-26.222975999999999</v>
      </c>
      <c r="H13" s="39">
        <f t="shared" si="3"/>
        <v>-27.009665279999997</v>
      </c>
      <c r="I13" s="39">
        <f t="shared" si="3"/>
        <v>-27.819955238400002</v>
      </c>
    </row>
    <row r="15" spans="1:17" x14ac:dyDescent="0.2">
      <c r="B15" s="14" t="s">
        <v>10</v>
      </c>
      <c r="C15" s="14"/>
      <c r="D15" s="269">
        <f>D10</f>
        <v>100</v>
      </c>
      <c r="E15" s="269">
        <f t="shared" ref="E15:I15" si="4">E10</f>
        <v>102</v>
      </c>
      <c r="F15" s="269">
        <f t="shared" si="4"/>
        <v>105.06</v>
      </c>
      <c r="G15" s="269">
        <f t="shared" si="4"/>
        <v>109.2624</v>
      </c>
      <c r="H15" s="269">
        <f t="shared" si="4"/>
        <v>112.540272</v>
      </c>
      <c r="I15" s="269">
        <f t="shared" si="4"/>
        <v>115.91648016000001</v>
      </c>
    </row>
    <row r="16" spans="1:17" x14ac:dyDescent="0.2">
      <c r="B16" s="16" t="s">
        <v>15</v>
      </c>
      <c r="D16" s="39">
        <f>D13</f>
        <v>-24</v>
      </c>
      <c r="E16" s="39">
        <f t="shared" ref="E16:I16" si="5">E13</f>
        <v>-24.479999999999997</v>
      </c>
      <c r="F16" s="39">
        <f t="shared" si="5"/>
        <v>-25.214400000000001</v>
      </c>
      <c r="G16" s="39">
        <f t="shared" si="5"/>
        <v>-26.222975999999999</v>
      </c>
      <c r="H16" s="39">
        <f t="shared" si="5"/>
        <v>-27.009665279999997</v>
      </c>
      <c r="I16" s="39">
        <f t="shared" si="5"/>
        <v>-27.819955238400002</v>
      </c>
    </row>
    <row r="17" spans="2:10" x14ac:dyDescent="0.2">
      <c r="B17" s="16" t="s">
        <v>16</v>
      </c>
      <c r="D17" s="39">
        <f>D11</f>
        <v>-20</v>
      </c>
      <c r="E17" s="39">
        <f t="shared" ref="E17:I17" si="6">E11</f>
        <v>-20.400000000000002</v>
      </c>
      <c r="F17" s="39">
        <f t="shared" si="6"/>
        <v>-21.012</v>
      </c>
      <c r="G17" s="39">
        <f t="shared" si="6"/>
        <v>-21.85248</v>
      </c>
      <c r="H17" s="39">
        <f t="shared" si="6"/>
        <v>-22.508054400000002</v>
      </c>
      <c r="I17" s="39">
        <f t="shared" si="6"/>
        <v>-23.183296032000001</v>
      </c>
    </row>
    <row r="18" spans="2:10" x14ac:dyDescent="0.2">
      <c r="B18" s="16" t="s">
        <v>17</v>
      </c>
      <c r="D18" s="39">
        <v>-1</v>
      </c>
      <c r="E18" s="39">
        <f>D18</f>
        <v>-1</v>
      </c>
      <c r="F18" s="39">
        <f t="shared" ref="F18:I18" si="7">E18</f>
        <v>-1</v>
      </c>
      <c r="G18" s="39">
        <f t="shared" si="7"/>
        <v>-1</v>
      </c>
      <c r="H18" s="39">
        <f t="shared" si="7"/>
        <v>-1</v>
      </c>
      <c r="I18" s="39">
        <f t="shared" si="7"/>
        <v>-1</v>
      </c>
    </row>
    <row r="19" spans="2:10" x14ac:dyDescent="0.2">
      <c r="B19" s="208" t="s">
        <v>18</v>
      </c>
      <c r="C19" s="208"/>
      <c r="D19" s="121">
        <f>SUM(D15:D18)</f>
        <v>55</v>
      </c>
      <c r="E19" s="121">
        <f t="shared" ref="E19:I19" si="8">SUM(E15:E18)</f>
        <v>56.120000000000005</v>
      </c>
      <c r="F19" s="121">
        <f t="shared" si="8"/>
        <v>57.833600000000004</v>
      </c>
      <c r="G19" s="121">
        <f t="shared" si="8"/>
        <v>60.186943999999997</v>
      </c>
      <c r="H19" s="121">
        <f t="shared" si="8"/>
        <v>62.022552320000003</v>
      </c>
      <c r="I19" s="121">
        <f t="shared" si="8"/>
        <v>63.913228889600006</v>
      </c>
    </row>
    <row r="20" spans="2:10" x14ac:dyDescent="0.2">
      <c r="B20" s="16" t="s">
        <v>227</v>
      </c>
      <c r="D20" s="39">
        <f>-D19*$D$4</f>
        <v>-13.75</v>
      </c>
      <c r="E20" s="39"/>
      <c r="F20" s="39"/>
      <c r="G20" s="39"/>
      <c r="H20" s="39"/>
      <c r="I20" s="39"/>
    </row>
    <row r="21" spans="2:10" x14ac:dyDescent="0.2">
      <c r="B21" s="270" t="s">
        <v>18</v>
      </c>
      <c r="C21" s="167"/>
      <c r="D21" s="175">
        <f>SUM(D19:D20)</f>
        <v>41.25</v>
      </c>
      <c r="E21" s="175">
        <f t="shared" ref="E21:I21" si="9">SUM(E19:E20)</f>
        <v>56.120000000000005</v>
      </c>
      <c r="F21" s="175">
        <f t="shared" si="9"/>
        <v>57.833600000000004</v>
      </c>
      <c r="G21" s="175">
        <f t="shared" si="9"/>
        <v>60.186943999999997</v>
      </c>
      <c r="H21" s="175">
        <f t="shared" si="9"/>
        <v>62.022552320000003</v>
      </c>
      <c r="I21" s="175">
        <f t="shared" si="9"/>
        <v>63.913228889600006</v>
      </c>
    </row>
    <row r="23" spans="2:10" x14ac:dyDescent="0.2">
      <c r="B23" s="157" t="s">
        <v>99</v>
      </c>
      <c r="E23" s="128">
        <f>D4/D5</f>
        <v>0.125</v>
      </c>
      <c r="F23" s="128">
        <f>0.5*2/D5+D4</f>
        <v>0.75</v>
      </c>
      <c r="G23" s="128">
        <f>F23+1</f>
        <v>1.75</v>
      </c>
      <c r="H23" s="128">
        <f t="shared" ref="H23:I23" si="10">G23+1</f>
        <v>2.75</v>
      </c>
      <c r="I23" s="128">
        <f t="shared" si="10"/>
        <v>3.75</v>
      </c>
      <c r="J23" s="261"/>
    </row>
    <row r="24" spans="2:10" x14ac:dyDescent="0.2">
      <c r="B24" s="24" t="s">
        <v>82</v>
      </c>
      <c r="E24" s="128">
        <f>1/(1+'DCF2'!WACC)^E23</f>
        <v>0.98957859074367682</v>
      </c>
      <c r="F24" s="128">
        <f>1/(1+'DCF2'!WACC)^F23</f>
        <v>0.939078170713603</v>
      </c>
      <c r="G24" s="128">
        <f>1/(1+'DCF2'!WACC)^G23</f>
        <v>0.86358297591342004</v>
      </c>
      <c r="H24" s="128">
        <f>1/(1+'DCF2'!WACC)^H23</f>
        <v>0.79415705693676786</v>
      </c>
      <c r="I24" s="128">
        <f>1/(1+'DCF2'!WACC)^I23</f>
        <v>0.73031248724581055</v>
      </c>
    </row>
    <row r="26" spans="2:10" x14ac:dyDescent="0.2">
      <c r="B26" s="16" t="s">
        <v>228</v>
      </c>
      <c r="I26" s="128">
        <f>I23+IF(D5=2,0.5,0)</f>
        <v>4.25</v>
      </c>
    </row>
    <row r="27" spans="2:10" x14ac:dyDescent="0.2">
      <c r="B27" s="16" t="s">
        <v>230</v>
      </c>
      <c r="I27" s="128">
        <f>1/(1+'DCF2'!WACC)^I26</f>
        <v>0.70034154516136504</v>
      </c>
    </row>
    <row r="29" spans="2:10" x14ac:dyDescent="0.2">
      <c r="B29" s="16" t="s">
        <v>229</v>
      </c>
      <c r="I29" s="49">
        <f>I15*I4</f>
        <v>1217.1230416800001</v>
      </c>
    </row>
    <row r="30" spans="2:10" x14ac:dyDescent="0.2">
      <c r="B30" s="16" t="s">
        <v>96</v>
      </c>
      <c r="I30" s="39">
        <f>I21*(1+I5)/(WACC-I5)</f>
        <v>1167.9102485329749</v>
      </c>
    </row>
    <row r="32" spans="2:10" x14ac:dyDescent="0.2">
      <c r="B32" s="16" t="s">
        <v>231</v>
      </c>
      <c r="D32" s="49">
        <f>SUMPRODUCT(E21:I21,E24:I24)</f>
        <v>257.75411878940423</v>
      </c>
    </row>
    <row r="34" spans="2:9" x14ac:dyDescent="0.2">
      <c r="B34" s="68" t="s">
        <v>232</v>
      </c>
      <c r="C34" s="273"/>
      <c r="D34" s="273"/>
      <c r="F34" s="68" t="s">
        <v>233</v>
      </c>
      <c r="G34" s="273"/>
      <c r="H34" s="273"/>
      <c r="I34"/>
    </row>
    <row r="35" spans="2:9" x14ac:dyDescent="0.2">
      <c r="B35" s="16" t="s">
        <v>87</v>
      </c>
      <c r="D35" s="49">
        <f>$D$32+I29*I27</f>
        <v>1110.155950451076</v>
      </c>
      <c r="F35" s="16" t="str">
        <f>B35</f>
        <v>Enterprise Value</v>
      </c>
      <c r="H35" s="200">
        <f>D32+I30*I24</f>
        <v>1110.6935572753939</v>
      </c>
    </row>
    <row r="36" spans="2:9" x14ac:dyDescent="0.2">
      <c r="B36" s="16" t="s">
        <v>90</v>
      </c>
      <c r="D36" s="183">
        <f>-WACC2!$F$8</f>
        <v>-546</v>
      </c>
      <c r="F36" s="16" t="str">
        <f t="shared" ref="F36:F37" si="11">B36</f>
        <v>Less: Net Debt</v>
      </c>
      <c r="G36"/>
      <c r="H36" s="183">
        <f>D36</f>
        <v>-546</v>
      </c>
    </row>
    <row r="37" spans="2:9" x14ac:dyDescent="0.2">
      <c r="B37" s="32" t="s">
        <v>92</v>
      </c>
      <c r="C37" s="32"/>
      <c r="D37" s="15">
        <f>SUM(D35:D36)</f>
        <v>564.15595045107602</v>
      </c>
      <c r="F37" s="32" t="str">
        <f t="shared" si="11"/>
        <v>Equity Value</v>
      </c>
      <c r="G37" s="32"/>
      <c r="H37" s="15">
        <f>SUM(H35:H36)</f>
        <v>564.69355727539391</v>
      </c>
    </row>
    <row r="39" spans="2:9" x14ac:dyDescent="0.2">
      <c r="B39" s="16" t="s">
        <v>100</v>
      </c>
      <c r="D39" s="80">
        <f>(WACC*I15*I4-D41)/(D41+I15*I4)</f>
        <v>3.0966262947729861E-2</v>
      </c>
      <c r="F39" s="16" t="s">
        <v>101</v>
      </c>
      <c r="H39" s="274">
        <f>(I21*(1+I5)*D40)/(I15*(WACC-I5))</f>
        <v>10.506622312911194</v>
      </c>
    </row>
    <row r="40" spans="2:9" x14ac:dyDescent="0.2">
      <c r="B40" s="16" t="s">
        <v>234</v>
      </c>
      <c r="D40" s="16">
        <f>(1+WACC)^((D5-1)/2)</f>
        <v>1.0427947510632685</v>
      </c>
    </row>
    <row r="41" spans="2:9" x14ac:dyDescent="0.2">
      <c r="D41" s="10">
        <f>I21*D40</f>
        <v>66.648379609580132</v>
      </c>
    </row>
  </sheetData>
  <dataValidations count="1">
    <dataValidation type="list" allowBlank="1" showInputMessage="1" showErrorMessage="1" prompt="1: no_x000a_2: yes" sqref="D5">
      <formula1>"1,2"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outlinePr summaryBelow="0" summaryRight="0"/>
  </sheetPr>
  <dimension ref="A1:AZ140"/>
  <sheetViews>
    <sheetView showGridLines="0" zoomScale="80" zoomScaleNormal="80" workbookViewId="0"/>
  </sheetViews>
  <sheetFormatPr defaultColWidth="12.7109375" defaultRowHeight="12.75" outlineLevelRow="1" x14ac:dyDescent="0.2"/>
  <cols>
    <col min="1" max="1" width="2.7109375" style="18" customWidth="1"/>
    <col min="2" max="51" width="12.7109375" style="16"/>
    <col min="52" max="52" width="12.7109375" style="17"/>
    <col min="53" max="16384" width="12.7109375" style="16"/>
  </cols>
  <sheetData>
    <row r="1" spans="1:52" ht="30" customHeight="1" x14ac:dyDescent="0.25">
      <c r="A1" s="66"/>
      <c r="B1" s="22" t="s">
        <v>102</v>
      </c>
      <c r="C1" s="21"/>
      <c r="D1" s="21"/>
      <c r="E1" s="21"/>
      <c r="F1" s="21"/>
      <c r="G1" s="21"/>
      <c r="H1" s="21"/>
      <c r="I1" s="21"/>
      <c r="J1" s="21"/>
      <c r="K1" s="21"/>
      <c r="L1" s="21"/>
      <c r="M1" s="20"/>
      <c r="N1" s="20"/>
      <c r="O1" s="20"/>
      <c r="P1" s="20"/>
      <c r="Q1" s="20"/>
    </row>
    <row r="2" spans="1:52" ht="15" x14ac:dyDescent="0.2">
      <c r="A2" s="13"/>
    </row>
    <row r="3" spans="1:52" ht="15" x14ac:dyDescent="0.2">
      <c r="A3" s="13"/>
      <c r="B3" s="64" t="s">
        <v>12</v>
      </c>
      <c r="C3" s="11"/>
      <c r="D3" s="11"/>
      <c r="E3" s="11"/>
      <c r="F3" s="11"/>
      <c r="G3"/>
      <c r="H3" s="12" t="s">
        <v>172</v>
      </c>
      <c r="I3" s="11"/>
      <c r="J3" s="11"/>
      <c r="K3" s="11"/>
      <c r="L3" s="11"/>
    </row>
    <row r="4" spans="1:52" ht="15" x14ac:dyDescent="0.2">
      <c r="A4" s="13"/>
      <c r="D4" s="232" t="s">
        <v>163</v>
      </c>
      <c r="E4" s="232" t="s">
        <v>169</v>
      </c>
      <c r="F4" s="232" t="s">
        <v>170</v>
      </c>
    </row>
    <row r="5" spans="1:52" ht="15" x14ac:dyDescent="0.2">
      <c r="A5" s="13"/>
      <c r="B5" s="16" t="s">
        <v>164</v>
      </c>
      <c r="D5" s="230">
        <v>2.5000000000000001E-2</v>
      </c>
      <c r="E5" s="230">
        <v>4.4999999999999998E-2</v>
      </c>
      <c r="F5" s="230">
        <v>7.4999999999999997E-2</v>
      </c>
      <c r="H5" s="16" t="s">
        <v>142</v>
      </c>
      <c r="L5" s="235">
        <f>Price</f>
        <v>22.5</v>
      </c>
    </row>
    <row r="6" spans="1:52" ht="15" x14ac:dyDescent="0.2">
      <c r="A6" s="13"/>
      <c r="B6" s="16" t="s">
        <v>167</v>
      </c>
      <c r="D6" s="231">
        <v>5.0000000000000001E-3</v>
      </c>
      <c r="E6" s="169"/>
      <c r="F6" s="169"/>
      <c r="H6" s="16" t="s">
        <v>171</v>
      </c>
      <c r="L6" s="82">
        <v>0.2</v>
      </c>
    </row>
    <row r="7" spans="1:52" ht="15" x14ac:dyDescent="0.2">
      <c r="A7" s="13"/>
      <c r="B7" s="16" t="s">
        <v>168</v>
      </c>
      <c r="E7" s="162">
        <v>3</v>
      </c>
      <c r="F7" s="162">
        <v>3</v>
      </c>
      <c r="H7" s="16" t="s">
        <v>173</v>
      </c>
      <c r="L7" s="236">
        <f>L5*(1+L6)</f>
        <v>27</v>
      </c>
    </row>
    <row r="8" spans="1:52" ht="15" x14ac:dyDescent="0.2">
      <c r="A8" s="13"/>
      <c r="B8" s="16" t="s">
        <v>165</v>
      </c>
      <c r="D8" s="228">
        <v>400</v>
      </c>
      <c r="E8" s="49">
        <f>E7*$D$12</f>
        <v>657.29999999999973</v>
      </c>
      <c r="F8" s="49">
        <f>F7*$D$12</f>
        <v>657.29999999999973</v>
      </c>
      <c r="H8" s="16" t="s">
        <v>174</v>
      </c>
      <c r="L8" s="47">
        <f ca="1">DCF!J5+IF(Circ,TSM(L7,DCF!H9:H11,DCF!I9:I11)+IF(L7&gt;DCF!I16,DCF!$H$16,0),0)</f>
        <v>90.048000000000002</v>
      </c>
    </row>
    <row r="9" spans="1:52" ht="15" x14ac:dyDescent="0.2">
      <c r="A9" s="13"/>
      <c r="H9" s="32" t="s">
        <v>175</v>
      </c>
      <c r="I9" s="32"/>
      <c r="J9" s="32"/>
      <c r="K9" s="32"/>
      <c r="L9" s="33">
        <f ca="1">L7*L8</f>
        <v>2431.2960000000003</v>
      </c>
    </row>
    <row r="10" spans="1:52" ht="15" x14ac:dyDescent="0.2">
      <c r="A10" s="13"/>
      <c r="B10" s="16" t="s">
        <v>166</v>
      </c>
      <c r="D10" s="229">
        <v>1.84E-2</v>
      </c>
      <c r="H10" s="16" t="s">
        <v>34</v>
      </c>
      <c r="L10" s="39">
        <f>DCF!E9+IF(L7&lt;DCF!$I$16,DCF!$G$16,0)</f>
        <v>1536</v>
      </c>
    </row>
    <row r="11" spans="1:52" ht="15" x14ac:dyDescent="0.2">
      <c r="A11" s="13"/>
      <c r="B11" s="16" t="s">
        <v>13</v>
      </c>
      <c r="D11" s="223">
        <f>[0]!Tax</f>
        <v>0.3</v>
      </c>
      <c r="H11" s="16" t="s">
        <v>36</v>
      </c>
      <c r="L11" s="39">
        <f>DCF!E8</f>
        <v>-100</v>
      </c>
    </row>
    <row r="12" spans="1:52" ht="15" x14ac:dyDescent="0.2">
      <c r="A12" s="13"/>
      <c r="B12" s="16" t="s">
        <v>183</v>
      </c>
      <c r="D12" s="188">
        <f>DCF!$F$39</f>
        <v>219.09999999999991</v>
      </c>
      <c r="H12" s="32" t="s">
        <v>176</v>
      </c>
      <c r="I12" s="32"/>
      <c r="J12" s="32"/>
      <c r="K12" s="32"/>
      <c r="L12" s="15">
        <f ca="1">SUM(L9:L11)</f>
        <v>3867.2960000000003</v>
      </c>
    </row>
    <row r="13" spans="1:52" ht="15" x14ac:dyDescent="0.2">
      <c r="A13" s="13"/>
      <c r="D13" s="178"/>
      <c r="H13" s="16" t="s">
        <v>177</v>
      </c>
      <c r="L13" s="160">
        <f ca="1">L12/DCF!F39</f>
        <v>17.650826106800555</v>
      </c>
    </row>
    <row r="14" spans="1:52" ht="15" x14ac:dyDescent="0.2">
      <c r="A14" s="13"/>
      <c r="H14" s="16" t="s">
        <v>85</v>
      </c>
      <c r="L14" s="238">
        <v>9.5908265111111106</v>
      </c>
    </row>
    <row r="15" spans="1:52" ht="15" x14ac:dyDescent="0.2">
      <c r="A15" s="13"/>
    </row>
    <row r="16" spans="1:52" ht="15" customHeight="1" x14ac:dyDescent="0.2">
      <c r="A16" s="13"/>
      <c r="B16" s="233" t="s">
        <v>76</v>
      </c>
      <c r="C16" s="234"/>
      <c r="D16" s="240" t="s">
        <v>179</v>
      </c>
      <c r="E16" s="239" t="s">
        <v>104</v>
      </c>
      <c r="F16" s="239" t="s">
        <v>105</v>
      </c>
      <c r="H16" s="68" t="s">
        <v>77</v>
      </c>
      <c r="I16" s="68"/>
      <c r="J16" s="239"/>
      <c r="K16" s="239" t="s">
        <v>179</v>
      </c>
      <c r="L16" s="239" t="s">
        <v>105</v>
      </c>
      <c r="AY16" s="17"/>
      <c r="AZ16" s="16"/>
    </row>
    <row r="17" spans="1:12" ht="15" x14ac:dyDescent="0.2">
      <c r="A17" s="13"/>
      <c r="B17" s="16" t="s">
        <v>178</v>
      </c>
      <c r="E17" s="48">
        <f>-DCF!E8</f>
        <v>100</v>
      </c>
      <c r="F17" s="50">
        <f ca="1">E17/$E$21</f>
        <v>2.4830556283918538E-2</v>
      </c>
      <c r="H17" s="16" t="s">
        <v>180</v>
      </c>
      <c r="K17" s="10">
        <f ca="1">L9</f>
        <v>2431.2960000000003</v>
      </c>
      <c r="L17" s="50">
        <f ca="1">K17/$K$21</f>
        <v>0.60370432170866017</v>
      </c>
    </row>
    <row r="18" spans="1:12" ht="15" x14ac:dyDescent="0.2">
      <c r="A18" s="13"/>
      <c r="B18" s="16" t="str">
        <f>E4&amp;" @ "&amp;TEXT(E5*10000,"L + 000 \b\p\s")</f>
        <v>1st Lien @ L + 450 bps</v>
      </c>
      <c r="D18" s="159">
        <f ca="1">E18/$D$12</f>
        <v>3</v>
      </c>
      <c r="E18" s="39">
        <f ca="1">MIN(E8,$K$21-E17)</f>
        <v>657.29999999999973</v>
      </c>
      <c r="F18" s="50">
        <f t="shared" ref="F18:F20" ca="1" si="0">E18/$E$21</f>
        <v>0.16321124645419649</v>
      </c>
      <c r="H18" s="16" t="s">
        <v>112</v>
      </c>
      <c r="K18" s="39">
        <f>L10</f>
        <v>1536</v>
      </c>
      <c r="L18" s="50">
        <f ca="1">K18/$K$21</f>
        <v>0.38139734452098872</v>
      </c>
    </row>
    <row r="19" spans="1:12" ht="15" x14ac:dyDescent="0.2">
      <c r="A19" s="13"/>
      <c r="B19" s="16" t="str">
        <f>F4&amp;" @ "&amp;TEXT(F5*10000,"L + 000 \b\p\s")</f>
        <v>2nd Lien @ L + 750 bps</v>
      </c>
      <c r="D19" s="159">
        <f ca="1">E19/$D$12</f>
        <v>3</v>
      </c>
      <c r="E19" s="39">
        <f ca="1">MIN(F8,$K$21-E18-E17)</f>
        <v>657.29999999999973</v>
      </c>
      <c r="F19" s="50">
        <f t="shared" ca="1" si="0"/>
        <v>0.16321124645419649</v>
      </c>
      <c r="H19" s="16" t="s">
        <v>113</v>
      </c>
      <c r="K19" s="222">
        <v>50</v>
      </c>
      <c r="L19" s="50">
        <f ca="1">K19/$K$21</f>
        <v>1.2415278141959269E-2</v>
      </c>
    </row>
    <row r="20" spans="1:12" ht="15" x14ac:dyDescent="0.2">
      <c r="A20" s="13"/>
      <c r="B20" s="16" t="s">
        <v>182</v>
      </c>
      <c r="E20" s="39">
        <f ca="1">K21-SUM(E17:E19)</f>
        <v>2612.6960000000008</v>
      </c>
      <c r="F20" s="50">
        <f t="shared" ca="1" si="0"/>
        <v>0.64874695080768852</v>
      </c>
      <c r="H20" s="16" t="s">
        <v>181</v>
      </c>
      <c r="K20" s="222">
        <v>10</v>
      </c>
      <c r="L20" s="50">
        <f ca="1">K20/$K$21</f>
        <v>2.4830556283918538E-3</v>
      </c>
    </row>
    <row r="21" spans="1:12" ht="15" x14ac:dyDescent="0.2">
      <c r="A21" s="13"/>
      <c r="B21" s="167" t="s">
        <v>79</v>
      </c>
      <c r="C21" s="167"/>
      <c r="D21" s="241">
        <f ca="1">SUM(D17:D20)</f>
        <v>6</v>
      </c>
      <c r="E21" s="242">
        <f ca="1">SUM(E17:E20)</f>
        <v>4027.2960000000003</v>
      </c>
      <c r="F21" s="243">
        <f ca="1">SUM(F17:F20)</f>
        <v>1</v>
      </c>
      <c r="H21" s="167" t="s">
        <v>78</v>
      </c>
      <c r="I21" s="167"/>
      <c r="J21" s="241"/>
      <c r="K21" s="242">
        <f ca="1">SUM(K17:K20)</f>
        <v>4027.2960000000003</v>
      </c>
      <c r="L21" s="243">
        <f ca="1">SUM(L17:L20)</f>
        <v>1</v>
      </c>
    </row>
    <row r="22" spans="1:12" ht="15" x14ac:dyDescent="0.2">
      <c r="A22" s="13"/>
    </row>
    <row r="23" spans="1:12" ht="15" x14ac:dyDescent="0.2">
      <c r="A23" s="13"/>
      <c r="B23" s="64" t="s">
        <v>75</v>
      </c>
      <c r="C23" s="11"/>
      <c r="D23" s="11"/>
      <c r="E23" s="11"/>
      <c r="F23" s="11"/>
      <c r="G23" s="11"/>
      <c r="H23" s="11"/>
      <c r="I23" s="11"/>
      <c r="J23" s="11"/>
      <c r="K23"/>
    </row>
    <row r="24" spans="1:12" ht="5.0999999999999996" customHeight="1" x14ac:dyDescent="0.2">
      <c r="A24" s="13"/>
    </row>
    <row r="25" spans="1:12" ht="15" x14ac:dyDescent="0.2">
      <c r="A25" s="13"/>
      <c r="D25" s="244"/>
      <c r="E25" s="244"/>
      <c r="F25" s="116">
        <v>2017</v>
      </c>
      <c r="G25" s="116">
        <f t="shared" ref="G25:J25" si="1">F25+1</f>
        <v>2018</v>
      </c>
      <c r="H25" s="116">
        <f t="shared" si="1"/>
        <v>2019</v>
      </c>
      <c r="I25" s="116">
        <f t="shared" si="1"/>
        <v>2020</v>
      </c>
      <c r="J25" s="116">
        <f t="shared" si="1"/>
        <v>2021</v>
      </c>
    </row>
    <row r="26" spans="1:12" ht="15" x14ac:dyDescent="0.2">
      <c r="A26" s="13"/>
      <c r="D26" s="81"/>
      <c r="E26" s="134"/>
      <c r="F26" s="134"/>
      <c r="G26" s="81"/>
      <c r="H26" s="81"/>
      <c r="I26" s="81"/>
      <c r="J26" s="81"/>
    </row>
    <row r="27" spans="1:12" ht="15" x14ac:dyDescent="0.2">
      <c r="A27" s="13"/>
      <c r="B27" s="32" t="s">
        <v>10</v>
      </c>
      <c r="C27" s="32"/>
      <c r="D27" s="245"/>
      <c r="E27" s="245"/>
      <c r="F27" s="33">
        <f>DCF!F39</f>
        <v>219.09999999999991</v>
      </c>
      <c r="G27" s="33">
        <f>DCF!G39</f>
        <v>228.5184999999999</v>
      </c>
      <c r="H27" s="33">
        <f>DCF!H39</f>
        <v>238.26664749999986</v>
      </c>
      <c r="I27" s="33">
        <f>DCF!I39</f>
        <v>248.35598016249992</v>
      </c>
      <c r="J27" s="33">
        <f>DCF!J39</f>
        <v>258.79843946818733</v>
      </c>
    </row>
    <row r="28" spans="1:12" ht="15" x14ac:dyDescent="0.2">
      <c r="A28" s="13"/>
      <c r="B28" s="16" t="s">
        <v>9</v>
      </c>
      <c r="D28" s="39"/>
      <c r="E28" s="136"/>
      <c r="F28" s="39">
        <f>DCF!F41</f>
        <v>-53.82</v>
      </c>
      <c r="G28" s="39">
        <f>DCF!G41</f>
        <v>-55.703699999999998</v>
      </c>
      <c r="H28" s="39">
        <f>DCF!H41</f>
        <v>-57.653329499999991</v>
      </c>
      <c r="I28" s="39">
        <f>DCF!I41</f>
        <v>-59.671196032499985</v>
      </c>
      <c r="J28" s="39">
        <f>DCF!J41</f>
        <v>-61.759687893637476</v>
      </c>
    </row>
    <row r="29" spans="1:12" ht="15" x14ac:dyDescent="0.2">
      <c r="A29" s="13"/>
      <c r="B29" s="246" t="s">
        <v>8</v>
      </c>
      <c r="C29" s="246"/>
      <c r="D29" s="247"/>
      <c r="E29" s="247"/>
      <c r="F29" s="247">
        <f t="shared" ref="F29:J29" si="2">SUM(F27:F28)</f>
        <v>165.27999999999992</v>
      </c>
      <c r="G29" s="247">
        <f t="shared" si="2"/>
        <v>172.81479999999991</v>
      </c>
      <c r="H29" s="247">
        <f t="shared" si="2"/>
        <v>180.61331799999988</v>
      </c>
      <c r="I29" s="247">
        <f t="shared" si="2"/>
        <v>188.68478412999994</v>
      </c>
      <c r="J29" s="247">
        <f t="shared" si="2"/>
        <v>197.03875157454985</v>
      </c>
    </row>
    <row r="30" spans="1:12" ht="15" x14ac:dyDescent="0.2">
      <c r="A30" s="13"/>
      <c r="B30" s="16" t="s">
        <v>125</v>
      </c>
      <c r="D30" s="39"/>
      <c r="E30" s="136"/>
      <c r="F30" s="39">
        <f ca="1">IF(Circ,-F80,0)</f>
        <v>-104.18442928585304</v>
      </c>
      <c r="G30" s="39">
        <f ca="1">IF(Circ,-G80,0)</f>
        <v>-102.21306609638489</v>
      </c>
      <c r="H30" s="39">
        <f ca="1">IF(Circ,-H80,0)</f>
        <v>-99.804260638205463</v>
      </c>
      <c r="I30" s="39">
        <f ca="1">IF(Circ,-I80,0)</f>
        <v>-96.925979786975546</v>
      </c>
      <c r="J30" s="39">
        <f ca="1">IF(Circ,-J80,0)</f>
        <v>-93.544310265966359</v>
      </c>
    </row>
    <row r="31" spans="1:12" ht="15" x14ac:dyDescent="0.2">
      <c r="A31" s="13"/>
      <c r="B31" s="16" t="s">
        <v>15</v>
      </c>
      <c r="D31" s="39"/>
      <c r="E31" s="136"/>
      <c r="F31" s="39">
        <f ca="1">-SUM(F29:F30)*(Tax)</f>
        <v>-18.328671214244061</v>
      </c>
      <c r="G31" s="39">
        <f ca="1">-SUM(G29:G30)*(Tax)</f>
        <v>-21.180520171084503</v>
      </c>
      <c r="H31" s="39">
        <f ca="1">-SUM(H29:H30)*(Tax)</f>
        <v>-24.242717208538323</v>
      </c>
      <c r="I31" s="39">
        <f ca="1">-SUM(I29:I30)*(Tax)</f>
        <v>-27.527641302907316</v>
      </c>
      <c r="J31" s="39">
        <f ca="1">-SUM(J29:J30)*(Tax)</f>
        <v>-31.048332392575045</v>
      </c>
    </row>
    <row r="32" spans="1:12" ht="15" x14ac:dyDescent="0.2">
      <c r="A32" s="13"/>
      <c r="B32" s="16" t="s">
        <v>158</v>
      </c>
      <c r="D32" s="39"/>
      <c r="E32" s="136"/>
      <c r="F32" s="39">
        <f t="shared" ref="F32:J32" si="3">-F28</f>
        <v>53.82</v>
      </c>
      <c r="G32" s="39">
        <f t="shared" si="3"/>
        <v>55.703699999999998</v>
      </c>
      <c r="H32" s="39">
        <f t="shared" si="3"/>
        <v>57.653329499999991</v>
      </c>
      <c r="I32" s="39">
        <f t="shared" si="3"/>
        <v>59.671196032499985</v>
      </c>
      <c r="J32" s="39">
        <f t="shared" si="3"/>
        <v>61.759687893637476</v>
      </c>
    </row>
    <row r="33" spans="1:10" ht="15" x14ac:dyDescent="0.2">
      <c r="A33" s="13"/>
      <c r="B33" s="16" t="s">
        <v>16</v>
      </c>
      <c r="D33" s="39"/>
      <c r="E33" s="136"/>
      <c r="F33" s="39">
        <f>DCF!F47</f>
        <v>-53.82</v>
      </c>
      <c r="G33" s="39">
        <f>DCF!G47</f>
        <v>-55.703699999999998</v>
      </c>
      <c r="H33" s="39">
        <f>DCF!H47</f>
        <v>-57.653329499999991</v>
      </c>
      <c r="I33" s="39">
        <f>DCF!I47</f>
        <v>-59.671196032499985</v>
      </c>
      <c r="J33" s="39">
        <f>DCF!J47</f>
        <v>-61.759687893637476</v>
      </c>
    </row>
    <row r="34" spans="1:10" ht="15" x14ac:dyDescent="0.2">
      <c r="A34" s="13"/>
      <c r="B34" s="16" t="s">
        <v>17</v>
      </c>
      <c r="D34" s="39"/>
      <c r="E34" s="136"/>
      <c r="F34" s="39">
        <f>DCF!F48</f>
        <v>-15</v>
      </c>
      <c r="G34" s="39">
        <f>DCF!G48</f>
        <v>-15</v>
      </c>
      <c r="H34" s="39">
        <f>DCF!H48</f>
        <v>-15</v>
      </c>
      <c r="I34" s="39">
        <f>DCF!I48</f>
        <v>-15</v>
      </c>
      <c r="J34" s="39">
        <f>DCF!J48</f>
        <v>-15</v>
      </c>
    </row>
    <row r="35" spans="1:10" ht="15" x14ac:dyDescent="0.2">
      <c r="A35" s="13"/>
      <c r="B35" s="32" t="s">
        <v>184</v>
      </c>
      <c r="C35" s="32"/>
      <c r="D35" s="245"/>
      <c r="E35" s="245"/>
      <c r="F35" s="33">
        <f ca="1">SUM(F29:F34)</f>
        <v>27.766899499902813</v>
      </c>
      <c r="G35" s="33">
        <f t="shared" ref="G35:J35" ca="1" si="4">SUM(G29:G34)</f>
        <v>34.421213732530504</v>
      </c>
      <c r="H35" s="33">
        <f t="shared" ca="1" si="4"/>
        <v>41.5663401532561</v>
      </c>
      <c r="I35" s="33">
        <f t="shared" ca="1" si="4"/>
        <v>49.231163040117082</v>
      </c>
      <c r="J35" s="33">
        <f t="shared" ca="1" si="4"/>
        <v>57.446108916008427</v>
      </c>
    </row>
    <row r="36" spans="1:10" ht="15" x14ac:dyDescent="0.2">
      <c r="A36" s="13"/>
    </row>
    <row r="37" spans="1:10" ht="15" x14ac:dyDescent="0.2">
      <c r="A37" s="13"/>
      <c r="B37" s="16" t="s">
        <v>185</v>
      </c>
      <c r="F37" s="49">
        <f>K19</f>
        <v>50</v>
      </c>
      <c r="G37" s="49">
        <f ca="1">F39</f>
        <v>50</v>
      </c>
      <c r="H37" s="49">
        <f t="shared" ref="H37:J37" ca="1" si="5">G39</f>
        <v>50</v>
      </c>
      <c r="I37" s="49">
        <f t="shared" ca="1" si="5"/>
        <v>50</v>
      </c>
      <c r="J37" s="49">
        <f t="shared" ca="1" si="5"/>
        <v>50</v>
      </c>
    </row>
    <row r="38" spans="1:10" ht="15" x14ac:dyDescent="0.2">
      <c r="A38" s="13"/>
      <c r="B38" s="16" t="s">
        <v>194</v>
      </c>
      <c r="F38" s="39">
        <f ca="1">F35+F59+F67+F74</f>
        <v>0</v>
      </c>
      <c r="G38" s="39">
        <f t="shared" ref="G38:J38" ca="1" si="6">G35+G59+G67+G74</f>
        <v>0</v>
      </c>
      <c r="H38" s="39">
        <f t="shared" ca="1" si="6"/>
        <v>0</v>
      </c>
      <c r="I38" s="39">
        <f t="shared" ca="1" si="6"/>
        <v>0</v>
      </c>
      <c r="J38" s="39">
        <f t="shared" ca="1" si="6"/>
        <v>0</v>
      </c>
    </row>
    <row r="39" spans="1:10" ht="15" x14ac:dyDescent="0.2">
      <c r="A39" s="13"/>
      <c r="B39" s="16" t="s">
        <v>186</v>
      </c>
      <c r="F39" s="190">
        <f ca="1">SUM(F37:F38)</f>
        <v>50</v>
      </c>
      <c r="G39" s="190">
        <f t="shared" ref="G39:J39" ca="1" si="7">SUM(G37:G38)</f>
        <v>50</v>
      </c>
      <c r="H39" s="190">
        <f t="shared" ca="1" si="7"/>
        <v>50</v>
      </c>
      <c r="I39" s="190">
        <f t="shared" ca="1" si="7"/>
        <v>50</v>
      </c>
      <c r="J39" s="190">
        <f t="shared" ca="1" si="7"/>
        <v>50</v>
      </c>
    </row>
    <row r="40" spans="1:10" ht="15" outlineLevel="1" x14ac:dyDescent="0.2">
      <c r="A40" s="13"/>
      <c r="B40" s="16" t="s">
        <v>193</v>
      </c>
      <c r="F40" s="251">
        <f ca="1">F35</f>
        <v>27.766899499902813</v>
      </c>
      <c r="G40" s="251">
        <f t="shared" ref="G40:J40" ca="1" si="8">G35</f>
        <v>34.421213732530504</v>
      </c>
      <c r="H40" s="251">
        <f t="shared" ca="1" si="8"/>
        <v>41.5663401532561</v>
      </c>
      <c r="I40" s="251">
        <f t="shared" ca="1" si="8"/>
        <v>49.231163040117082</v>
      </c>
      <c r="J40" s="251">
        <f t="shared" ca="1" si="8"/>
        <v>57.446108916008427</v>
      </c>
    </row>
    <row r="41" spans="1:10" ht="15" x14ac:dyDescent="0.2">
      <c r="A41" s="13"/>
      <c r="F41" s="251"/>
      <c r="G41" s="251"/>
      <c r="H41" s="251"/>
      <c r="I41" s="251"/>
      <c r="J41" s="251"/>
    </row>
    <row r="42" spans="1:10" ht="15" x14ac:dyDescent="0.2">
      <c r="A42" s="13"/>
      <c r="B42" s="64" t="s">
        <v>196</v>
      </c>
      <c r="C42" s="11"/>
      <c r="D42" s="11"/>
      <c r="E42" s="11"/>
      <c r="F42" s="11"/>
      <c r="G42" s="11"/>
      <c r="H42" s="11"/>
      <c r="I42" s="11"/>
      <c r="J42" s="11"/>
    </row>
    <row r="43" spans="1:10" ht="5.0999999999999996" customHeight="1" x14ac:dyDescent="0.2">
      <c r="A43" s="13"/>
    </row>
    <row r="44" spans="1:10" ht="15" customHeight="1" x14ac:dyDescent="0.2">
      <c r="A44" s="13"/>
      <c r="B44" s="16" t="s">
        <v>197</v>
      </c>
      <c r="F44" s="10">
        <f>G27</f>
        <v>228.5184999999999</v>
      </c>
      <c r="G44" s="10">
        <f t="shared" ref="G44:I44" si="9">H27</f>
        <v>238.26664749999986</v>
      </c>
      <c r="H44" s="10">
        <f t="shared" si="9"/>
        <v>248.35598016249992</v>
      </c>
      <c r="I44" s="10">
        <f t="shared" si="9"/>
        <v>258.79843946818733</v>
      </c>
      <c r="J44" s="255">
        <f>J27/I27*I44</f>
        <v>269.6799659398016</v>
      </c>
    </row>
    <row r="45" spans="1:10" ht="15" customHeight="1" x14ac:dyDescent="0.2">
      <c r="A45" s="13"/>
      <c r="B45" s="16" t="s">
        <v>198</v>
      </c>
      <c r="F45" s="237">
        <f>$L$14</f>
        <v>9.5908265111111106</v>
      </c>
      <c r="G45" s="237">
        <f t="shared" ref="G45:J45" si="10">$L$14</f>
        <v>9.5908265111111106</v>
      </c>
      <c r="H45" s="237">
        <f t="shared" si="10"/>
        <v>9.5908265111111106</v>
      </c>
      <c r="I45" s="237">
        <f t="shared" si="10"/>
        <v>9.5908265111111106</v>
      </c>
      <c r="J45" s="237">
        <f t="shared" si="10"/>
        <v>9.5908265111111106</v>
      </c>
    </row>
    <row r="46" spans="1:10" ht="15" customHeight="1" x14ac:dyDescent="0.2">
      <c r="A46" s="13"/>
      <c r="B46" s="32" t="s">
        <v>87</v>
      </c>
      <c r="C46" s="32"/>
      <c r="D46" s="32"/>
      <c r="E46" s="32"/>
      <c r="F46" s="33">
        <f>F44*F45</f>
        <v>2191.6812880793436</v>
      </c>
      <c r="G46" s="33">
        <f t="shared" ref="G46:J46" si="11">G44*G45</f>
        <v>2285.1740795565647</v>
      </c>
      <c r="H46" s="33">
        <f t="shared" si="11"/>
        <v>2381.9391187354895</v>
      </c>
      <c r="I46" s="33">
        <f t="shared" si="11"/>
        <v>2482.0909342856748</v>
      </c>
      <c r="J46" s="33">
        <f t="shared" si="11"/>
        <v>2586.4537668509906</v>
      </c>
    </row>
    <row r="47" spans="1:10" ht="15" customHeight="1" x14ac:dyDescent="0.2">
      <c r="A47" s="13"/>
      <c r="B47" s="16" t="s">
        <v>90</v>
      </c>
      <c r="F47" s="39">
        <f ca="1">-F79</f>
        <v>-1236.8331005000966</v>
      </c>
      <c r="G47" s="39">
        <f t="shared" ref="G47:J47" ca="1" si="12">-G79</f>
        <v>-1202.4118867675661</v>
      </c>
      <c r="H47" s="39">
        <f t="shared" ca="1" si="12"/>
        <v>-1160.84554661431</v>
      </c>
      <c r="I47" s="39">
        <f t="shared" ca="1" si="12"/>
        <v>-1111.614383574193</v>
      </c>
      <c r="J47" s="39">
        <f t="shared" ca="1" si="12"/>
        <v>-1054.1682746581846</v>
      </c>
    </row>
    <row r="48" spans="1:10" ht="15" customHeight="1" x14ac:dyDescent="0.2">
      <c r="A48" s="13"/>
      <c r="B48" s="32" t="s">
        <v>92</v>
      </c>
      <c r="C48" s="32"/>
      <c r="D48" s="32"/>
      <c r="E48" s="32"/>
      <c r="F48" s="33">
        <f ca="1">SUM(F46:F47)</f>
        <v>954.848187579247</v>
      </c>
      <c r="G48" s="33">
        <f t="shared" ref="G48:J48" ca="1" si="13">SUM(G46:G47)</f>
        <v>1082.7621927889986</v>
      </c>
      <c r="H48" s="33">
        <f t="shared" ca="1" si="13"/>
        <v>1221.0935721211795</v>
      </c>
      <c r="I48" s="33">
        <f t="shared" ca="1" si="13"/>
        <v>1370.4765507114819</v>
      </c>
      <c r="J48" s="33">
        <f t="shared" ca="1" si="13"/>
        <v>1532.285492192806</v>
      </c>
    </row>
    <row r="49" spans="1:10" ht="15" customHeight="1" x14ac:dyDescent="0.2">
      <c r="A49" s="13"/>
      <c r="B49" s="157" t="s">
        <v>200</v>
      </c>
      <c r="C49" s="256"/>
      <c r="D49" s="256"/>
      <c r="E49" s="256"/>
      <c r="F49" s="257">
        <f ca="1">$E$20</f>
        <v>2612.6960000000008</v>
      </c>
      <c r="G49" s="257">
        <f t="shared" ref="G49:J49" ca="1" si="14">$E$20</f>
        <v>2612.6960000000008</v>
      </c>
      <c r="H49" s="257">
        <f t="shared" ca="1" si="14"/>
        <v>2612.6960000000008</v>
      </c>
      <c r="I49" s="257">
        <f t="shared" ca="1" si="14"/>
        <v>2612.6960000000008</v>
      </c>
      <c r="J49" s="257">
        <f t="shared" ca="1" si="14"/>
        <v>2612.6960000000008</v>
      </c>
    </row>
    <row r="50" spans="1:10" ht="15" customHeight="1" x14ac:dyDescent="0.2">
      <c r="A50" s="13"/>
      <c r="B50" s="157" t="s">
        <v>201</v>
      </c>
      <c r="C50" s="256"/>
      <c r="D50" s="256"/>
      <c r="E50" s="256"/>
      <c r="F50" s="258">
        <v>1</v>
      </c>
      <c r="G50" s="258">
        <v>2</v>
      </c>
      <c r="H50" s="258">
        <v>3</v>
      </c>
      <c r="I50" s="258">
        <v>4</v>
      </c>
      <c r="J50" s="258">
        <v>5</v>
      </c>
    </row>
    <row r="51" spans="1:10" ht="5.0999999999999996" customHeight="1" x14ac:dyDescent="0.2">
      <c r="A51" s="13"/>
      <c r="B51" s="157"/>
      <c r="C51" s="256"/>
      <c r="D51" s="256"/>
      <c r="E51" s="256"/>
      <c r="F51" s="258"/>
      <c r="G51" s="258"/>
      <c r="H51" s="258"/>
      <c r="I51" s="258"/>
      <c r="J51" s="258"/>
    </row>
    <row r="52" spans="1:10" ht="15" customHeight="1" x14ac:dyDescent="0.2">
      <c r="A52" s="13"/>
      <c r="B52" s="176" t="s">
        <v>199</v>
      </c>
      <c r="C52" s="176"/>
      <c r="D52" s="176"/>
      <c r="E52" s="176"/>
      <c r="F52" s="259">
        <f ca="1">(F48/F49)^(1/F50)-1</f>
        <v>-0.63453528937953485</v>
      </c>
      <c r="G52" s="259">
        <f t="shared" ref="G52:J52" ca="1" si="15">(G48/G49)^(1/G50)-1</f>
        <v>-0.35624279716870833</v>
      </c>
      <c r="H52" s="259">
        <f t="shared" ca="1" si="15"/>
        <v>-0.22395538755562028</v>
      </c>
      <c r="I52" s="259">
        <f t="shared" ca="1" si="15"/>
        <v>-0.14896840820341628</v>
      </c>
      <c r="J52" s="259">
        <f t="shared" ca="1" si="15"/>
        <v>-0.1012267008809522</v>
      </c>
    </row>
    <row r="53" spans="1:10" ht="15" customHeight="1" x14ac:dyDescent="0.2">
      <c r="A53" s="13"/>
      <c r="B53" s="176" t="s">
        <v>202</v>
      </c>
      <c r="C53" s="176"/>
      <c r="D53" s="176"/>
      <c r="E53" s="176"/>
      <c r="F53" s="260">
        <f ca="1">F48/F49</f>
        <v>0.36546471062046509</v>
      </c>
      <c r="G53" s="260">
        <f t="shared" ref="G53:J53" ca="1" si="16">G48/G49</f>
        <v>0.41442333619716887</v>
      </c>
      <c r="H53" s="260">
        <f t="shared" ca="1" si="16"/>
        <v>0.46736917426335828</v>
      </c>
      <c r="I53" s="260">
        <f t="shared" ca="1" si="16"/>
        <v>0.52454497220935059</v>
      </c>
      <c r="J53" s="260">
        <f t="shared" ca="1" si="16"/>
        <v>0.58647676277408678</v>
      </c>
    </row>
    <row r="54" spans="1:10" ht="15" x14ac:dyDescent="0.2">
      <c r="A54" s="13"/>
    </row>
    <row r="55" spans="1:10" ht="15" x14ac:dyDescent="0.2">
      <c r="A55" s="13"/>
      <c r="B55" s="64" t="s">
        <v>128</v>
      </c>
      <c r="C55" s="11"/>
      <c r="D55" s="11"/>
      <c r="E55" s="11"/>
      <c r="F55" s="11"/>
      <c r="G55" s="11"/>
      <c r="H55" s="11"/>
      <c r="I55" s="11"/>
      <c r="J55" s="11"/>
    </row>
    <row r="56" spans="1:10" ht="5.0999999999999996" customHeight="1" x14ac:dyDescent="0.2">
      <c r="A56" s="13"/>
    </row>
    <row r="57" spans="1:10" ht="15" x14ac:dyDescent="0.2">
      <c r="A57" s="13"/>
      <c r="B57" s="248" t="s">
        <v>163</v>
      </c>
    </row>
    <row r="58" spans="1:10" ht="15" x14ac:dyDescent="0.2">
      <c r="A58" s="13"/>
      <c r="B58" s="16" t="s">
        <v>187</v>
      </c>
      <c r="F58" s="49">
        <v>0</v>
      </c>
      <c r="G58" s="49">
        <f ca="1">F60</f>
        <v>0</v>
      </c>
      <c r="H58" s="49">
        <f t="shared" ref="H58:J58" ca="1" si="17">G60</f>
        <v>0</v>
      </c>
      <c r="I58" s="49">
        <f t="shared" ca="1" si="17"/>
        <v>0</v>
      </c>
      <c r="J58" s="49">
        <f t="shared" ca="1" si="17"/>
        <v>0</v>
      </c>
    </row>
    <row r="59" spans="1:10" ht="15" x14ac:dyDescent="0.2">
      <c r="A59" s="13"/>
      <c r="B59" s="16" t="s">
        <v>188</v>
      </c>
      <c r="F59" s="10">
        <f ca="1">-MIN(0,F40)</f>
        <v>0</v>
      </c>
      <c r="G59" s="10">
        <f t="shared" ref="G59:J59" ca="1" si="18">-MIN(0,G40)</f>
        <v>0</v>
      </c>
      <c r="H59" s="10">
        <f t="shared" ca="1" si="18"/>
        <v>0</v>
      </c>
      <c r="I59" s="10">
        <f t="shared" ca="1" si="18"/>
        <v>0</v>
      </c>
      <c r="J59" s="10">
        <f t="shared" ca="1" si="18"/>
        <v>0</v>
      </c>
    </row>
    <row r="60" spans="1:10" ht="15" x14ac:dyDescent="0.2">
      <c r="A60" s="13"/>
      <c r="B60" s="16" t="s">
        <v>189</v>
      </c>
      <c r="F60" s="190">
        <f ca="1">F58+F59</f>
        <v>0</v>
      </c>
      <c r="G60" s="190">
        <f t="shared" ref="G60:J60" ca="1" si="19">G58+G59</f>
        <v>0</v>
      </c>
      <c r="H60" s="190">
        <f t="shared" ca="1" si="19"/>
        <v>0</v>
      </c>
      <c r="I60" s="190">
        <f t="shared" ca="1" si="19"/>
        <v>0</v>
      </c>
      <c r="J60" s="190">
        <f t="shared" ca="1" si="19"/>
        <v>0</v>
      </c>
    </row>
    <row r="61" spans="1:10" ht="15" x14ac:dyDescent="0.2">
      <c r="A61" s="13"/>
      <c r="B61" s="252" t="s">
        <v>190</v>
      </c>
      <c r="C61" s="252"/>
      <c r="D61" s="252"/>
      <c r="E61" s="252"/>
      <c r="F61" s="254">
        <f ca="1">AVERAGE(F58,F60)*D5</f>
        <v>0</v>
      </c>
      <c r="G61" s="254"/>
      <c r="H61" s="254"/>
      <c r="I61" s="254"/>
      <c r="J61" s="254"/>
    </row>
    <row r="62" spans="1:10" ht="15" x14ac:dyDescent="0.2">
      <c r="A62" s="13"/>
      <c r="B62" s="16" t="s">
        <v>195</v>
      </c>
      <c r="F62" s="49">
        <f ca="1">F40+F59</f>
        <v>27.766899499902813</v>
      </c>
      <c r="G62" s="49">
        <f t="shared" ref="G62:J62" ca="1" si="20">G40+G59</f>
        <v>34.421213732530504</v>
      </c>
      <c r="H62" s="49">
        <f t="shared" ca="1" si="20"/>
        <v>41.5663401532561</v>
      </c>
      <c r="I62" s="49">
        <f t="shared" ca="1" si="20"/>
        <v>49.231163040117082</v>
      </c>
      <c r="J62" s="49">
        <f t="shared" ca="1" si="20"/>
        <v>57.446108916008427</v>
      </c>
    </row>
    <row r="63" spans="1:10" ht="15" x14ac:dyDescent="0.2">
      <c r="A63" s="13"/>
      <c r="B63" s="16" t="s">
        <v>191</v>
      </c>
      <c r="F63" s="39">
        <f ca="1">AVERAGE(MAX(0,$D$6*($D$8-F58)),MAX(0,$D$6*($D$8-F60)))</f>
        <v>2</v>
      </c>
      <c r="G63" s="39">
        <f ca="1">AVERAGE(MAX(0,$D$6*($D$8-G58)),MAX(0,$D$6*($D$8-G60)))</f>
        <v>2</v>
      </c>
      <c r="H63" s="39">
        <f ca="1">AVERAGE(MAX(0,$D$6*($D$8-H58)),MAX(0,$D$6*($D$8-H60)))</f>
        <v>2</v>
      </c>
      <c r="I63" s="39">
        <f ca="1">AVERAGE(MAX(0,$D$6*($D$8-I58)),MAX(0,$D$6*($D$8-I60)))</f>
        <v>2</v>
      </c>
      <c r="J63" s="39">
        <f ca="1">AVERAGE(MAX(0,$D$6*($D$8-J58)),MAX(0,$D$6*($D$8-J60)))</f>
        <v>2</v>
      </c>
    </row>
    <row r="64" spans="1:10" ht="15" x14ac:dyDescent="0.2">
      <c r="A64" s="13"/>
    </row>
    <row r="65" spans="1:10" ht="15" x14ac:dyDescent="0.2">
      <c r="A65" s="13"/>
      <c r="B65" s="248" t="str">
        <f>B18</f>
        <v>1st Lien @ L + 450 bps</v>
      </c>
    </row>
    <row r="66" spans="1:10" ht="15" x14ac:dyDescent="0.2">
      <c r="A66" s="13"/>
      <c r="B66" s="16" t="s">
        <v>187</v>
      </c>
      <c r="F66" s="49">
        <f ca="1">$E$18</f>
        <v>657.29999999999973</v>
      </c>
      <c r="G66" s="49">
        <f ca="1">F68</f>
        <v>629.53310050009691</v>
      </c>
      <c r="H66" s="49">
        <f t="shared" ref="H66:J66" ca="1" si="21">G68</f>
        <v>595.11188676756638</v>
      </c>
      <c r="I66" s="49">
        <f t="shared" ca="1" si="21"/>
        <v>553.5455466143103</v>
      </c>
      <c r="J66" s="49">
        <f t="shared" ca="1" si="21"/>
        <v>504.31438357419324</v>
      </c>
    </row>
    <row r="67" spans="1:10" ht="15" x14ac:dyDescent="0.2">
      <c r="A67" s="13"/>
      <c r="B67" s="16" t="s">
        <v>188</v>
      </c>
      <c r="F67" s="39">
        <f ca="1">-MIN(F66,F62)</f>
        <v>-27.766899499902813</v>
      </c>
      <c r="G67" s="39">
        <f t="shared" ref="G67:J67" ca="1" si="22">-MIN(G66,G62)</f>
        <v>-34.421213732530504</v>
      </c>
      <c r="H67" s="39">
        <f t="shared" ca="1" si="22"/>
        <v>-41.5663401532561</v>
      </c>
      <c r="I67" s="39">
        <f t="shared" ca="1" si="22"/>
        <v>-49.231163040117082</v>
      </c>
      <c r="J67" s="39">
        <f t="shared" ca="1" si="22"/>
        <v>-57.446108916008427</v>
      </c>
    </row>
    <row r="68" spans="1:10" ht="15" x14ac:dyDescent="0.2">
      <c r="A68" s="13"/>
      <c r="B68" s="16" t="s">
        <v>189</v>
      </c>
      <c r="F68" s="190">
        <f ca="1">F66+F67</f>
        <v>629.53310050009691</v>
      </c>
      <c r="G68" s="190">
        <f t="shared" ref="G68" ca="1" si="23">G66+G67</f>
        <v>595.11188676756638</v>
      </c>
      <c r="H68" s="190">
        <f t="shared" ref="H68" ca="1" si="24">H66+H67</f>
        <v>553.5455466143103</v>
      </c>
      <c r="I68" s="190">
        <f t="shared" ref="I68" ca="1" si="25">I66+I67</f>
        <v>504.31438357419324</v>
      </c>
      <c r="J68" s="190">
        <f t="shared" ref="J68" ca="1" si="26">J66+J67</f>
        <v>446.86827465818482</v>
      </c>
    </row>
    <row r="69" spans="1:10" ht="15" x14ac:dyDescent="0.2">
      <c r="A69" s="13"/>
      <c r="B69" s="252" t="s">
        <v>190</v>
      </c>
      <c r="C69" s="252"/>
      <c r="D69" s="253">
        <f>E5</f>
        <v>4.4999999999999998E-2</v>
      </c>
      <c r="E69" s="252"/>
      <c r="F69" s="254">
        <f ca="1">AVERAGE(F66,F68)*($D69+LIBOR)</f>
        <v>40.792609285853061</v>
      </c>
      <c r="G69" s="254">
        <f ca="1">AVERAGE(G66,G68)*($D69+LIBOR)</f>
        <v>38.821246096384925</v>
      </c>
      <c r="H69" s="254">
        <f ca="1">AVERAGE(H66,H68)*($D69+LIBOR)</f>
        <v>36.412440638205489</v>
      </c>
      <c r="I69" s="254">
        <f ca="1">AVERAGE(I66,I68)*($D69+LIBOR)</f>
        <v>33.534159786975565</v>
      </c>
      <c r="J69" s="254">
        <f ca="1">AVERAGE(J66,J68)*($D69+LIBOR)</f>
        <v>30.152490265966385</v>
      </c>
    </row>
    <row r="70" spans="1:10" ht="15" x14ac:dyDescent="0.2">
      <c r="A70" s="13"/>
      <c r="B70" s="16" t="s">
        <v>195</v>
      </c>
      <c r="F70" s="39">
        <f ca="1">F62+MIN(0,F67)</f>
        <v>0</v>
      </c>
      <c r="G70" s="39">
        <f t="shared" ref="G70:J70" ca="1" si="27">G62+MIN(0,G67)</f>
        <v>0</v>
      </c>
      <c r="H70" s="39">
        <f t="shared" ca="1" si="27"/>
        <v>0</v>
      </c>
      <c r="I70" s="39">
        <f t="shared" ca="1" si="27"/>
        <v>0</v>
      </c>
      <c r="J70" s="39">
        <f t="shared" ca="1" si="27"/>
        <v>0</v>
      </c>
    </row>
    <row r="71" spans="1:10" ht="15" x14ac:dyDescent="0.2">
      <c r="A71" s="13"/>
    </row>
    <row r="72" spans="1:10" ht="15" x14ac:dyDescent="0.2">
      <c r="A72" s="13"/>
      <c r="B72" s="248" t="str">
        <f>B19</f>
        <v>2nd Lien @ L + 750 bps</v>
      </c>
    </row>
    <row r="73" spans="1:10" ht="15" x14ac:dyDescent="0.2">
      <c r="A73" s="13"/>
      <c r="B73" s="16" t="s">
        <v>187</v>
      </c>
      <c r="F73" s="49">
        <f ca="1">$E$19</f>
        <v>657.29999999999973</v>
      </c>
      <c r="G73" s="49">
        <f ca="1">F75</f>
        <v>657.29999999999973</v>
      </c>
      <c r="H73" s="49">
        <f t="shared" ref="H73:J73" ca="1" si="28">G75</f>
        <v>657.29999999999973</v>
      </c>
      <c r="I73" s="49">
        <f t="shared" ca="1" si="28"/>
        <v>657.29999999999973</v>
      </c>
      <c r="J73" s="49">
        <f t="shared" ca="1" si="28"/>
        <v>657.29999999999973</v>
      </c>
    </row>
    <row r="74" spans="1:10" ht="15" x14ac:dyDescent="0.2">
      <c r="A74" s="13"/>
      <c r="B74" s="16" t="s">
        <v>188</v>
      </c>
      <c r="F74" s="10">
        <f ca="1">-MIN(F73,F70)</f>
        <v>0</v>
      </c>
      <c r="G74" s="10">
        <f t="shared" ref="G74:J74" ca="1" si="29">-MIN(G73,G70)</f>
        <v>0</v>
      </c>
      <c r="H74" s="10">
        <f t="shared" ca="1" si="29"/>
        <v>0</v>
      </c>
      <c r="I74" s="10">
        <f t="shared" ca="1" si="29"/>
        <v>0</v>
      </c>
      <c r="J74" s="10">
        <f t="shared" ca="1" si="29"/>
        <v>0</v>
      </c>
    </row>
    <row r="75" spans="1:10" ht="15" x14ac:dyDescent="0.2">
      <c r="A75" s="13"/>
      <c r="B75" s="16" t="s">
        <v>189</v>
      </c>
      <c r="F75" s="190">
        <f ca="1">F73+F74</f>
        <v>657.29999999999973</v>
      </c>
      <c r="G75" s="190">
        <f t="shared" ref="G75" ca="1" si="30">G73+G74</f>
        <v>657.29999999999973</v>
      </c>
      <c r="H75" s="190">
        <f t="shared" ref="H75" ca="1" si="31">H73+H74</f>
        <v>657.29999999999973</v>
      </c>
      <c r="I75" s="190">
        <f t="shared" ref="I75" ca="1" si="32">I73+I74</f>
        <v>657.29999999999973</v>
      </c>
      <c r="J75" s="190">
        <f t="shared" ref="J75" ca="1" si="33">J73+J74</f>
        <v>657.29999999999973</v>
      </c>
    </row>
    <row r="76" spans="1:10" ht="15" x14ac:dyDescent="0.2">
      <c r="A76" s="13"/>
      <c r="B76" s="252" t="s">
        <v>190</v>
      </c>
      <c r="C76" s="252"/>
      <c r="D76" s="253">
        <f>F5</f>
        <v>7.4999999999999997E-2</v>
      </c>
      <c r="E76" s="252"/>
      <c r="F76" s="254">
        <f ca="1">AVERAGE(F73,F75)*($D76+LIBOR)</f>
        <v>61.391819999999974</v>
      </c>
      <c r="G76" s="254">
        <f ca="1">AVERAGE(G73,G75)*($D76+LIBOR)</f>
        <v>61.391819999999974</v>
      </c>
      <c r="H76" s="254">
        <f ca="1">AVERAGE(H73,H75)*($D76+LIBOR)</f>
        <v>61.391819999999974</v>
      </c>
      <c r="I76" s="254">
        <f ca="1">AVERAGE(I73,I75)*($D76+LIBOR)</f>
        <v>61.391819999999974</v>
      </c>
      <c r="J76" s="254">
        <f ca="1">AVERAGE(J73,J75)*($D76+LIBOR)</f>
        <v>61.391819999999974</v>
      </c>
    </row>
    <row r="77" spans="1:10" ht="15" x14ac:dyDescent="0.2">
      <c r="A77" s="13"/>
    </row>
    <row r="78" spans="1:10" ht="15" x14ac:dyDescent="0.2">
      <c r="A78" s="13"/>
      <c r="B78" s="86" t="s">
        <v>132</v>
      </c>
      <c r="C78" s="86"/>
      <c r="D78" s="86"/>
      <c r="E78" s="86"/>
      <c r="F78" s="250">
        <f ca="1">F60+F68+F75</f>
        <v>1286.8331005000966</v>
      </c>
      <c r="G78" s="250">
        <f ca="1">G60+G68+G75</f>
        <v>1252.4118867675661</v>
      </c>
      <c r="H78" s="250">
        <f ca="1">H60+H68+H75</f>
        <v>1210.84554661431</v>
      </c>
      <c r="I78" s="250">
        <f ca="1">I60+I68+I75</f>
        <v>1161.614383574193</v>
      </c>
      <c r="J78" s="250">
        <f ca="1">J60+J68+J75</f>
        <v>1104.1682746581846</v>
      </c>
    </row>
    <row r="79" spans="1:10" ht="15" x14ac:dyDescent="0.2">
      <c r="A79" s="13"/>
      <c r="B79" s="86" t="s">
        <v>108</v>
      </c>
      <c r="C79" s="86"/>
      <c r="D79" s="86"/>
      <c r="E79" s="86"/>
      <c r="F79" s="250">
        <f ca="1">F78-F39</f>
        <v>1236.8331005000966</v>
      </c>
      <c r="G79" s="250">
        <f ca="1">G78-G39</f>
        <v>1202.4118867675661</v>
      </c>
      <c r="H79" s="250">
        <f ca="1">H78-H39</f>
        <v>1160.84554661431</v>
      </c>
      <c r="I79" s="250">
        <f ca="1">I78-I39</f>
        <v>1111.614383574193</v>
      </c>
      <c r="J79" s="250">
        <f ca="1">J78-J39</f>
        <v>1054.1682746581846</v>
      </c>
    </row>
    <row r="80" spans="1:10" ht="15" x14ac:dyDescent="0.2">
      <c r="A80" s="13"/>
      <c r="B80" s="85" t="s">
        <v>192</v>
      </c>
      <c r="C80" s="85"/>
      <c r="D80" s="85"/>
      <c r="E80" s="85"/>
      <c r="F80" s="249">
        <f ca="1">F61+F69+F76+F63</f>
        <v>104.18442928585304</v>
      </c>
      <c r="G80" s="249">
        <f ca="1">G61+G69+G76+G63</f>
        <v>102.21306609638489</v>
      </c>
      <c r="H80" s="249">
        <f ca="1">H61+H69+H76+H63</f>
        <v>99.804260638205463</v>
      </c>
      <c r="I80" s="249">
        <f ca="1">I61+I69+I76+I63</f>
        <v>96.925979786975546</v>
      </c>
      <c r="J80" s="249">
        <f ca="1">J61+J69+J76+J63</f>
        <v>93.544310265966359</v>
      </c>
    </row>
    <row r="81" spans="1:1" ht="15" x14ac:dyDescent="0.2">
      <c r="A81" s="13"/>
    </row>
    <row r="82" spans="1:1" ht="15" x14ac:dyDescent="0.2">
      <c r="A82" s="13"/>
    </row>
    <row r="83" spans="1:1" ht="15" x14ac:dyDescent="0.2">
      <c r="A83" s="13"/>
    </row>
    <row r="84" spans="1:1" ht="15" x14ac:dyDescent="0.2">
      <c r="A84" s="13"/>
    </row>
    <row r="85" spans="1:1" ht="15" x14ac:dyDescent="0.2">
      <c r="A85" s="13"/>
    </row>
    <row r="86" spans="1:1" ht="15" x14ac:dyDescent="0.2">
      <c r="A86" s="13"/>
    </row>
    <row r="87" spans="1:1" ht="15" x14ac:dyDescent="0.2">
      <c r="A87" s="13"/>
    </row>
    <row r="88" spans="1:1" ht="15" x14ac:dyDescent="0.2">
      <c r="A88" s="13"/>
    </row>
    <row r="89" spans="1:1" ht="15" x14ac:dyDescent="0.2">
      <c r="A89" s="13"/>
    </row>
    <row r="90" spans="1:1" ht="15" x14ac:dyDescent="0.2">
      <c r="A90" s="13"/>
    </row>
    <row r="91" spans="1:1" ht="15" x14ac:dyDescent="0.2">
      <c r="A91" s="13"/>
    </row>
    <row r="92" spans="1:1" ht="15" x14ac:dyDescent="0.2">
      <c r="A92" s="13"/>
    </row>
    <row r="93" spans="1:1" ht="15" x14ac:dyDescent="0.2">
      <c r="A93" s="13"/>
    </row>
    <row r="94" spans="1:1" ht="15" x14ac:dyDescent="0.2">
      <c r="A94" s="13"/>
    </row>
    <row r="95" spans="1:1" ht="15" x14ac:dyDescent="0.2">
      <c r="A95" s="13"/>
    </row>
    <row r="96" spans="1:1" ht="15" x14ac:dyDescent="0.2">
      <c r="A96" s="13"/>
    </row>
    <row r="97" spans="1:1" ht="15" x14ac:dyDescent="0.2">
      <c r="A97" s="13"/>
    </row>
    <row r="98" spans="1:1" ht="15" x14ac:dyDescent="0.2">
      <c r="A98" s="13"/>
    </row>
    <row r="99" spans="1:1" ht="15" x14ac:dyDescent="0.2">
      <c r="A99" s="13"/>
    </row>
    <row r="100" spans="1:1" ht="15" x14ac:dyDescent="0.2">
      <c r="A100" s="13"/>
    </row>
    <row r="101" spans="1:1" ht="15" x14ac:dyDescent="0.2">
      <c r="A101" s="13"/>
    </row>
    <row r="102" spans="1:1" ht="15" x14ac:dyDescent="0.2">
      <c r="A102" s="13"/>
    </row>
    <row r="103" spans="1:1" ht="15" x14ac:dyDescent="0.2">
      <c r="A103" s="13"/>
    </row>
    <row r="104" spans="1:1" ht="15" x14ac:dyDescent="0.2">
      <c r="A104" s="13"/>
    </row>
    <row r="105" spans="1:1" ht="15" x14ac:dyDescent="0.2">
      <c r="A105" s="13"/>
    </row>
    <row r="106" spans="1:1" ht="15" x14ac:dyDescent="0.2">
      <c r="A106" s="13"/>
    </row>
    <row r="107" spans="1:1" ht="15" x14ac:dyDescent="0.2">
      <c r="A107" s="13"/>
    </row>
    <row r="108" spans="1:1" ht="15" x14ac:dyDescent="0.2">
      <c r="A108" s="13"/>
    </row>
    <row r="109" spans="1:1" ht="15" x14ac:dyDescent="0.2">
      <c r="A109" s="13"/>
    </row>
    <row r="110" spans="1:1" ht="15" x14ac:dyDescent="0.2">
      <c r="A110" s="13"/>
    </row>
    <row r="111" spans="1:1" ht="15" x14ac:dyDescent="0.2">
      <c r="A111" s="13"/>
    </row>
    <row r="112" spans="1:1" ht="15" x14ac:dyDescent="0.2">
      <c r="A112" s="13"/>
    </row>
    <row r="113" spans="1:1" ht="15" x14ac:dyDescent="0.2">
      <c r="A113" s="13"/>
    </row>
    <row r="114" spans="1:1" ht="15" x14ac:dyDescent="0.2">
      <c r="A114" s="13"/>
    </row>
    <row r="115" spans="1:1" ht="15" x14ac:dyDescent="0.2">
      <c r="A115" s="13"/>
    </row>
    <row r="116" spans="1:1" ht="15" x14ac:dyDescent="0.2">
      <c r="A116" s="13"/>
    </row>
    <row r="117" spans="1:1" ht="15" x14ac:dyDescent="0.2">
      <c r="A117" s="13"/>
    </row>
    <row r="118" spans="1:1" ht="15" x14ac:dyDescent="0.2">
      <c r="A118" s="13"/>
    </row>
    <row r="119" spans="1:1" ht="15" x14ac:dyDescent="0.2">
      <c r="A119" s="13"/>
    </row>
    <row r="120" spans="1:1" ht="15" x14ac:dyDescent="0.2">
      <c r="A120" s="13"/>
    </row>
    <row r="121" spans="1:1" ht="15" x14ac:dyDescent="0.2">
      <c r="A121" s="13"/>
    </row>
    <row r="122" spans="1:1" ht="15" x14ac:dyDescent="0.2">
      <c r="A122" s="13"/>
    </row>
    <row r="123" spans="1:1" ht="15" x14ac:dyDescent="0.2">
      <c r="A123" s="13"/>
    </row>
    <row r="124" spans="1:1" ht="15" x14ac:dyDescent="0.2">
      <c r="A124" s="13"/>
    </row>
    <row r="125" spans="1:1" ht="15" x14ac:dyDescent="0.2">
      <c r="A125" s="13"/>
    </row>
    <row r="126" spans="1:1" ht="15" x14ac:dyDescent="0.2">
      <c r="A126" s="13"/>
    </row>
    <row r="127" spans="1:1" ht="15" x14ac:dyDescent="0.2">
      <c r="A127" s="13"/>
    </row>
    <row r="128" spans="1:1" ht="15" x14ac:dyDescent="0.2">
      <c r="A128" s="13"/>
    </row>
    <row r="129" spans="1:1" ht="15" x14ac:dyDescent="0.2">
      <c r="A129" s="13"/>
    </row>
    <row r="130" spans="1:1" ht="15" x14ac:dyDescent="0.2">
      <c r="A130" s="13"/>
    </row>
    <row r="131" spans="1:1" ht="15" x14ac:dyDescent="0.2">
      <c r="A131" s="13"/>
    </row>
    <row r="132" spans="1:1" ht="15" x14ac:dyDescent="0.2">
      <c r="A132" s="13"/>
    </row>
    <row r="133" spans="1:1" ht="15" x14ac:dyDescent="0.2">
      <c r="A133" s="13"/>
    </row>
    <row r="134" spans="1:1" ht="15" x14ac:dyDescent="0.2">
      <c r="A134" s="13"/>
    </row>
    <row r="135" spans="1:1" ht="15" x14ac:dyDescent="0.2">
      <c r="A135" s="13"/>
    </row>
    <row r="136" spans="1:1" ht="15" x14ac:dyDescent="0.2">
      <c r="A136" s="13"/>
    </row>
    <row r="137" spans="1:1" ht="15" x14ac:dyDescent="0.2">
      <c r="A137" s="13"/>
    </row>
    <row r="138" spans="1:1" ht="15" x14ac:dyDescent="0.2">
      <c r="A138" s="13"/>
    </row>
    <row r="139" spans="1:1" ht="15" x14ac:dyDescent="0.2">
      <c r="A139" s="13"/>
    </row>
    <row r="140" spans="1:1" ht="15" x14ac:dyDescent="0.2">
      <c r="A140" s="13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outlinePr summaryBelow="0" summaryRight="0"/>
  </sheetPr>
  <dimension ref="A1:BB29"/>
  <sheetViews>
    <sheetView showGridLines="0" tabSelected="1" zoomScale="80" zoomScaleNormal="80" workbookViewId="0">
      <selection activeCell="D21" sqref="D21"/>
    </sheetView>
  </sheetViews>
  <sheetFormatPr defaultColWidth="12.7109375" defaultRowHeight="12.75" x14ac:dyDescent="0.2"/>
  <cols>
    <col min="1" max="1" width="2.7109375" style="18" customWidth="1"/>
    <col min="2" max="3" width="12.7109375" style="16"/>
    <col min="4" max="4" width="12.7109375" style="16" customWidth="1"/>
    <col min="5" max="53" width="12.7109375" style="16"/>
    <col min="54" max="54" width="12.7109375" style="17"/>
    <col min="55" max="16384" width="12.7109375" style="16"/>
  </cols>
  <sheetData>
    <row r="1" spans="1:19" ht="30" customHeight="1" x14ac:dyDescent="0.25">
      <c r="A1" s="165"/>
      <c r="B1" s="22" t="s">
        <v>19</v>
      </c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0"/>
      <c r="P1" s="20"/>
      <c r="Q1" s="20"/>
      <c r="R1" s="20"/>
      <c r="S1" s="20"/>
    </row>
    <row r="3" spans="1:19" x14ac:dyDescent="0.2">
      <c r="B3" s="263" t="s">
        <v>53</v>
      </c>
      <c r="C3" s="34"/>
      <c r="D3" s="34"/>
      <c r="E3" s="170" t="s">
        <v>28</v>
      </c>
      <c r="F3" s="170" t="s">
        <v>132</v>
      </c>
      <c r="G3" s="170" t="s">
        <v>63</v>
      </c>
      <c r="H3" s="170" t="s">
        <v>70</v>
      </c>
      <c r="I3" s="170" t="s">
        <v>204</v>
      </c>
      <c r="J3" s="170" t="s">
        <v>203</v>
      </c>
    </row>
    <row r="4" spans="1:19" x14ac:dyDescent="0.2">
      <c r="B4" s="16" t="s">
        <v>205</v>
      </c>
      <c r="E4" s="55">
        <v>6295</v>
      </c>
      <c r="F4" s="55">
        <v>2043</v>
      </c>
      <c r="G4" s="63">
        <f>F4/E4</f>
        <v>0.3245432883240667</v>
      </c>
      <c r="H4" s="63">
        <f>F4/SUM(E4:F4)</f>
        <v>0.24502278723914608</v>
      </c>
      <c r="I4" s="262">
        <v>1.224</v>
      </c>
      <c r="J4" s="261">
        <f>I4/(1+(1-Tax)*(F4/E4))</f>
        <v>0.9974084477870836</v>
      </c>
    </row>
    <row r="5" spans="1:19" x14ac:dyDescent="0.2">
      <c r="B5" s="16" t="s">
        <v>206</v>
      </c>
      <c r="E5" s="36">
        <v>5721</v>
      </c>
      <c r="F5" s="36">
        <v>1920</v>
      </c>
      <c r="G5" s="63">
        <f t="shared" ref="G5:G8" si="0">F5/E5</f>
        <v>0.33560566334556896</v>
      </c>
      <c r="H5" s="63">
        <f t="shared" ref="H5:H8" si="1">F5/SUM(E5:F5)</f>
        <v>0.25127601099332547</v>
      </c>
      <c r="I5" s="262">
        <v>1.4570000000000001</v>
      </c>
      <c r="J5" s="261">
        <f>I5/(1+(1-Tax)*(F5/E5))</f>
        <v>1.1798297239915074</v>
      </c>
    </row>
    <row r="6" spans="1:19" x14ac:dyDescent="0.2">
      <c r="B6" s="16" t="s">
        <v>208</v>
      </c>
      <c r="E6" s="36">
        <v>4753</v>
      </c>
      <c r="F6" s="36">
        <v>1059</v>
      </c>
      <c r="G6" s="63">
        <f t="shared" si="0"/>
        <v>0.22280664843256889</v>
      </c>
      <c r="H6" s="63">
        <f t="shared" si="1"/>
        <v>0.18220922229869235</v>
      </c>
      <c r="I6" s="262">
        <v>1.546</v>
      </c>
      <c r="J6" s="261">
        <f>I6/(1+(1-Tax)*(F6/E6))</f>
        <v>1.3374111351764557</v>
      </c>
    </row>
    <row r="7" spans="1:19" x14ac:dyDescent="0.2">
      <c r="B7" s="16" t="s">
        <v>207</v>
      </c>
      <c r="E7" s="36">
        <v>2077</v>
      </c>
      <c r="F7" s="36">
        <v>448</v>
      </c>
      <c r="G7" s="63">
        <f t="shared" si="0"/>
        <v>0.2156957149735195</v>
      </c>
      <c r="H7" s="63">
        <f t="shared" si="1"/>
        <v>0.17742574257425742</v>
      </c>
      <c r="I7" s="262">
        <v>1.0840000000000001</v>
      </c>
      <c r="J7" s="261">
        <f>I7/(1+(1-Tax)*(F7/E7))</f>
        <v>0.941800384840626</v>
      </c>
    </row>
    <row r="8" spans="1:19" x14ac:dyDescent="0.2">
      <c r="B8" s="16" t="s">
        <v>60</v>
      </c>
      <c r="E8" s="36">
        <v>1420</v>
      </c>
      <c r="F8" s="36">
        <v>546</v>
      </c>
      <c r="G8" s="63">
        <f t="shared" si="0"/>
        <v>0.38450704225352111</v>
      </c>
      <c r="H8" s="63">
        <f t="shared" si="1"/>
        <v>0.2777212614445575</v>
      </c>
      <c r="I8" s="262">
        <v>1.147</v>
      </c>
      <c r="J8" s="261">
        <f>I8/(1+(1-Tax)*(F8/E8))</f>
        <v>0.90375097103540125</v>
      </c>
    </row>
    <row r="10" spans="1:19" x14ac:dyDescent="0.2">
      <c r="B10" s="14" t="s">
        <v>64</v>
      </c>
      <c r="C10" s="14"/>
      <c r="D10" s="14"/>
      <c r="E10" s="14"/>
      <c r="F10" s="14"/>
      <c r="G10" s="265">
        <f>AVERAGE(G4:G8)</f>
        <v>0.29663167146584907</v>
      </c>
      <c r="H10" s="265">
        <f>AVERAGE(H4:H8)</f>
        <v>0.22673100490999576</v>
      </c>
      <c r="I10" s="264">
        <f>AVERAGE(I4:I8)</f>
        <v>1.2916000000000001</v>
      </c>
      <c r="J10" s="264">
        <f>AVERAGE(J4:J8)</f>
        <v>1.0720401325662148</v>
      </c>
    </row>
    <row r="11" spans="1:19" x14ac:dyDescent="0.2">
      <c r="B11" s="14" t="s">
        <v>65</v>
      </c>
      <c r="C11" s="14"/>
      <c r="D11" s="14"/>
      <c r="E11" s="14"/>
      <c r="F11" s="14"/>
      <c r="G11" s="265">
        <f>MEDIAN(G4:G8)</f>
        <v>0.3245432883240667</v>
      </c>
      <c r="H11" s="265">
        <f>MEDIAN(H4:H8)</f>
        <v>0.24502278723914608</v>
      </c>
      <c r="I11" s="264">
        <f>MEDIAN(I4:I8)</f>
        <v>1.224</v>
      </c>
      <c r="J11" s="264">
        <f>MEDIAN(J4:J8)</f>
        <v>0.9974084477870836</v>
      </c>
    </row>
    <row r="13" spans="1:19" x14ac:dyDescent="0.2">
      <c r="B13" s="16" t="s">
        <v>209</v>
      </c>
      <c r="C13" s="80">
        <v>0.06</v>
      </c>
    </row>
    <row r="14" spans="1:19" x14ac:dyDescent="0.2">
      <c r="B14" s="16" t="s">
        <v>210</v>
      </c>
      <c r="C14" s="80">
        <v>0.3</v>
      </c>
    </row>
    <row r="15" spans="1:19" x14ac:dyDescent="0.2">
      <c r="B15" s="16" t="s">
        <v>211</v>
      </c>
      <c r="C15" s="80">
        <v>5.9700000000000003E-2</v>
      </c>
    </row>
    <row r="16" spans="1:19" x14ac:dyDescent="0.2">
      <c r="B16" s="16" t="s">
        <v>212</v>
      </c>
      <c r="C16" s="80">
        <v>3.0200000000000001E-2</v>
      </c>
    </row>
    <row r="17" spans="2:5" x14ac:dyDescent="0.2">
      <c r="B17" s="16" t="s">
        <v>218</v>
      </c>
      <c r="C17" s="80">
        <v>0.01</v>
      </c>
      <c r="D17" s="169"/>
      <c r="E17" s="169"/>
    </row>
    <row r="18" spans="2:5" x14ac:dyDescent="0.2">
      <c r="C18" s="80"/>
      <c r="D18" s="169"/>
      <c r="E18" s="169"/>
    </row>
    <row r="19" spans="2:5" x14ac:dyDescent="0.2">
      <c r="B19" s="16" t="s">
        <v>213</v>
      </c>
      <c r="D19" s="80">
        <f>C13*(1-Tax)</f>
        <v>4.1999999999999996E-2</v>
      </c>
    </row>
    <row r="20" spans="2:5" x14ac:dyDescent="0.2">
      <c r="B20" s="34" t="s">
        <v>214</v>
      </c>
      <c r="D20" s="80"/>
    </row>
    <row r="21" spans="2:5" x14ac:dyDescent="0.2">
      <c r="B21" s="39" t="s">
        <v>215</v>
      </c>
      <c r="D21" s="80">
        <f>J10*$C$15+$C$16+$C$17</f>
        <v>0.10420079591420303</v>
      </c>
      <c r="E21" s="80"/>
    </row>
    <row r="22" spans="2:5" x14ac:dyDescent="0.2">
      <c r="B22" s="39" t="s">
        <v>216</v>
      </c>
      <c r="D22" s="80">
        <f>J11*$C$15+$C$16+$C$17</f>
        <v>9.9745284332888887E-2</v>
      </c>
      <c r="E22" s="80"/>
    </row>
    <row r="23" spans="2:5" x14ac:dyDescent="0.2">
      <c r="B23" s="39" t="s">
        <v>217</v>
      </c>
      <c r="D23" s="80">
        <f>J8*$C$15+$C$16+$C$17</f>
        <v>9.4153932970813453E-2</v>
      </c>
      <c r="E23" s="80"/>
    </row>
    <row r="24" spans="2:5" x14ac:dyDescent="0.2">
      <c r="B24" s="39"/>
      <c r="D24" s="80"/>
    </row>
    <row r="26" spans="2:5" x14ac:dyDescent="0.2">
      <c r="B26" s="117" t="s">
        <v>222</v>
      </c>
    </row>
    <row r="27" spans="2:5" x14ac:dyDescent="0.2">
      <c r="B27" s="39" t="s">
        <v>219</v>
      </c>
      <c r="D27" s="80">
        <f>$D$19*H10+(1-$H$10)*$D$22</f>
        <v>8.6652637987279554E-2</v>
      </c>
    </row>
    <row r="28" spans="2:5" x14ac:dyDescent="0.2">
      <c r="B28" s="39" t="s">
        <v>220</v>
      </c>
      <c r="D28" s="266">
        <f>$D$19*H11+(1-$H$10)*$D$22</f>
        <v>8.7420892845103862E-2</v>
      </c>
    </row>
    <row r="29" spans="2:5" x14ac:dyDescent="0.2">
      <c r="B29" s="39" t="s">
        <v>221</v>
      </c>
      <c r="D29" s="80">
        <f>$D$19*H8+(1-$H$10)*$D$22</f>
        <v>8.8794228761731139E-2</v>
      </c>
    </row>
  </sheetData>
  <sortState ref="E4:F8">
    <sortCondition descending="1" ref="E4"/>
  </sortState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outlinePr summaryBelow="0" summaryRight="0"/>
  </sheetPr>
  <dimension ref="A1:BB59"/>
  <sheetViews>
    <sheetView showGridLines="0" zoomScale="80" zoomScaleNormal="80" workbookViewId="0">
      <selection activeCell="M15" sqref="M15"/>
    </sheetView>
  </sheetViews>
  <sheetFormatPr defaultColWidth="12.7109375" defaultRowHeight="12.75" x14ac:dyDescent="0.2"/>
  <cols>
    <col min="1" max="1" width="2.7109375" style="18" customWidth="1"/>
    <col min="2" max="6" width="12.7109375" style="16"/>
    <col min="7" max="7" width="2.7109375" style="16" customWidth="1"/>
    <col min="8" max="12" width="12.7109375" style="16"/>
    <col min="13" max="13" width="2.7109375" style="16" customWidth="1"/>
    <col min="14" max="52" width="12.7109375" style="16"/>
    <col min="53" max="53" width="12.7109375" style="17"/>
    <col min="54" max="16384" width="12.7109375" style="16"/>
  </cols>
  <sheetData>
    <row r="1" spans="1:19" ht="30" customHeight="1" x14ac:dyDescent="0.25">
      <c r="A1" s="66"/>
      <c r="B1" s="22" t="s">
        <v>103</v>
      </c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0"/>
      <c r="O1" s="20"/>
      <c r="P1" s="20"/>
      <c r="Q1" s="20"/>
      <c r="R1" s="20"/>
    </row>
    <row r="2" spans="1:19" ht="15" x14ac:dyDescent="0.2">
      <c r="A2" s="13"/>
    </row>
    <row r="3" spans="1:19" ht="15" x14ac:dyDescent="0.2">
      <c r="A3" s="13"/>
      <c r="B3" s="68" t="s">
        <v>76</v>
      </c>
      <c r="C3" s="68"/>
      <c r="D3" s="210"/>
      <c r="E3" s="210" t="s">
        <v>104</v>
      </c>
      <c r="F3" s="210" t="s">
        <v>105</v>
      </c>
      <c r="H3" s="68" t="s">
        <v>77</v>
      </c>
      <c r="I3" s="68"/>
      <c r="J3" s="68"/>
      <c r="K3" s="210" t="s">
        <v>104</v>
      </c>
      <c r="L3" s="210" t="s">
        <v>105</v>
      </c>
      <c r="N3" s="12" t="s">
        <v>146</v>
      </c>
      <c r="O3" s="12"/>
      <c r="P3" s="12"/>
      <c r="Q3" s="12"/>
      <c r="R3" s="12"/>
      <c r="S3" s="12"/>
    </row>
    <row r="4" spans="1:19" ht="15" x14ac:dyDescent="0.2">
      <c r="A4" s="13"/>
      <c r="B4" s="16" t="s">
        <v>106</v>
      </c>
      <c r="E4" s="49">
        <f>Q5</f>
        <v>10</v>
      </c>
      <c r="F4" s="50">
        <f>IFERROR(E4/E$8,0)</f>
        <v>1.3404825737265416E-2</v>
      </c>
      <c r="H4" s="16" t="s">
        <v>111</v>
      </c>
      <c r="K4" s="49">
        <f>L16*J26</f>
        <v>546</v>
      </c>
      <c r="L4" s="50">
        <f>IFERROR(K4/K$8,0)</f>
        <v>0.73190348525469173</v>
      </c>
      <c r="P4" s="171" t="s">
        <v>115</v>
      </c>
      <c r="Q4" s="171" t="s">
        <v>114</v>
      </c>
      <c r="R4" s="171" t="s">
        <v>116</v>
      </c>
      <c r="S4" s="171" t="s">
        <v>117</v>
      </c>
    </row>
    <row r="5" spans="1:19" ht="15" x14ac:dyDescent="0.2">
      <c r="A5" s="13"/>
      <c r="B5" s="16" t="s">
        <v>107</v>
      </c>
      <c r="E5" s="39">
        <f>P5-S5</f>
        <v>50</v>
      </c>
      <c r="F5" s="50">
        <f>IFERROR(E5/E$8,0)</f>
        <v>6.7024128686327081E-2</v>
      </c>
      <c r="H5" s="16" t="s">
        <v>112</v>
      </c>
      <c r="K5" s="39">
        <f>Q6</f>
        <v>150</v>
      </c>
      <c r="L5" s="50">
        <f>IFERROR(K5/K$8,0)</f>
        <v>0.20107238605898123</v>
      </c>
      <c r="N5" s="16" t="s">
        <v>118</v>
      </c>
      <c r="P5" s="36">
        <f>-DCF!E8</f>
        <v>100</v>
      </c>
      <c r="Q5" s="36">
        <v>10</v>
      </c>
      <c r="R5" s="39">
        <f>-SUM(P5:Q5)+K6</f>
        <v>-60</v>
      </c>
      <c r="S5" s="39">
        <f>SUM(P5:R5)</f>
        <v>50</v>
      </c>
    </row>
    <row r="6" spans="1:19" ht="15" x14ac:dyDescent="0.2">
      <c r="A6" s="13"/>
      <c r="B6" s="16" t="s">
        <v>109</v>
      </c>
      <c r="E6" s="39">
        <f>MIN(K8-E4-E5,F13)</f>
        <v>0</v>
      </c>
      <c r="F6" s="50">
        <f>IFERROR(E6/E$8,0)</f>
        <v>0</v>
      </c>
      <c r="H6" s="16" t="s">
        <v>113</v>
      </c>
      <c r="K6" s="172">
        <v>50</v>
      </c>
      <c r="L6" s="50">
        <f>IFERROR(K6/K$8,0)</f>
        <v>6.7024128686327081E-2</v>
      </c>
      <c r="N6" s="16" t="s">
        <v>49</v>
      </c>
      <c r="P6" s="183">
        <f>$D$40</f>
        <v>1500</v>
      </c>
      <c r="Q6" s="39">
        <f>$J$40</f>
        <v>150</v>
      </c>
      <c r="R6" s="39">
        <f>-K5+E6</f>
        <v>-150</v>
      </c>
      <c r="S6" s="39">
        <f>SUM(P6:R6)</f>
        <v>1500</v>
      </c>
    </row>
    <row r="7" spans="1:19" ht="15" x14ac:dyDescent="0.2">
      <c r="A7" s="13"/>
      <c r="B7" s="16" t="s">
        <v>110</v>
      </c>
      <c r="E7" s="39">
        <f>K8-E4-E5-E6</f>
        <v>686</v>
      </c>
      <c r="F7" s="50">
        <f>IFERROR(E7/E$8,0)</f>
        <v>0.91957104557640745</v>
      </c>
      <c r="K7" s="39"/>
      <c r="L7" s="50"/>
      <c r="N7" s="167" t="s">
        <v>108</v>
      </c>
      <c r="O7" s="167"/>
      <c r="P7" s="209">
        <f>P6-P5</f>
        <v>1400</v>
      </c>
      <c r="Q7" s="209">
        <f>Q6-Q5</f>
        <v>140</v>
      </c>
      <c r="R7" s="209"/>
      <c r="S7" s="209">
        <f>S6-S5</f>
        <v>1450</v>
      </c>
    </row>
    <row r="8" spans="1:19" ht="15" x14ac:dyDescent="0.2">
      <c r="A8" s="13"/>
      <c r="B8" s="167" t="s">
        <v>79</v>
      </c>
      <c r="C8" s="167"/>
      <c r="D8" s="167"/>
      <c r="E8" s="175">
        <f>SUM(E4:E7)</f>
        <v>746</v>
      </c>
      <c r="F8" s="177">
        <f>SUM(F4:F7)</f>
        <v>1</v>
      </c>
      <c r="H8" s="167" t="s">
        <v>79</v>
      </c>
      <c r="I8" s="167"/>
      <c r="J8" s="167"/>
      <c r="K8" s="175">
        <f>SUM(K4:K7)</f>
        <v>746</v>
      </c>
      <c r="L8" s="177">
        <f>SUM(L4:L7)</f>
        <v>1</v>
      </c>
      <c r="N8" s="16" t="s">
        <v>43</v>
      </c>
      <c r="P8" s="164">
        <f>P7/$D$21</f>
        <v>6.3897763578274791</v>
      </c>
      <c r="Q8" s="164">
        <f>Q7/$J$21</f>
        <v>3.5</v>
      </c>
      <c r="R8" s="164"/>
      <c r="S8" s="164">
        <f>S7/P21</f>
        <v>5.1952705123611622</v>
      </c>
    </row>
    <row r="9" spans="1:19" ht="15" x14ac:dyDescent="0.2">
      <c r="A9" s="13"/>
      <c r="N9"/>
    </row>
    <row r="10" spans="1:19" ht="15" x14ac:dyDescent="0.2">
      <c r="A10" s="13"/>
      <c r="B10" s="12" t="s">
        <v>12</v>
      </c>
      <c r="C10" s="12"/>
      <c r="D10" s="12"/>
      <c r="E10" s="12"/>
      <c r="F10" s="12"/>
      <c r="G10" s="12"/>
      <c r="H10" s="12"/>
      <c r="I10" s="12"/>
      <c r="J10" s="12"/>
      <c r="K10" s="12"/>
      <c r="L10" s="12"/>
      <c r="M10"/>
      <c r="N10" s="12" t="s">
        <v>162</v>
      </c>
      <c r="O10" s="12"/>
      <c r="P10" s="12"/>
      <c r="Q10" s="12"/>
      <c r="R10" s="12"/>
      <c r="S10"/>
    </row>
    <row r="11" spans="1:19" ht="5.0999999999999996" customHeight="1" x14ac:dyDescent="0.2">
      <c r="A11" s="13"/>
    </row>
    <row r="12" spans="1:19" ht="15" x14ac:dyDescent="0.2">
      <c r="A12" s="13"/>
      <c r="B12" s="16" t="s">
        <v>148</v>
      </c>
      <c r="F12" s="227">
        <v>0</v>
      </c>
      <c r="H12" s="16" t="s">
        <v>123</v>
      </c>
      <c r="L12" s="180">
        <v>0.4</v>
      </c>
      <c r="Q12" s="16" t="s">
        <v>154</v>
      </c>
      <c r="R12" s="16" t="s">
        <v>155</v>
      </c>
    </row>
    <row r="13" spans="1:19" ht="15" x14ac:dyDescent="0.2">
      <c r="A13" s="13"/>
      <c r="B13" s="16" t="s">
        <v>145</v>
      </c>
      <c r="F13" s="211">
        <f>MAX(0,P21*F12-(P6-S5))</f>
        <v>0</v>
      </c>
      <c r="H13" s="16" t="s">
        <v>127</v>
      </c>
      <c r="L13" s="180">
        <v>0.4</v>
      </c>
      <c r="N13" s="226" t="s">
        <v>152</v>
      </c>
      <c r="Q13" s="160">
        <f>Price/E27</f>
        <v>25.439844248161599</v>
      </c>
      <c r="R13" s="160"/>
    </row>
    <row r="14" spans="1:19" ht="15" x14ac:dyDescent="0.2">
      <c r="A14" s="13"/>
      <c r="B14" s="16" t="s">
        <v>119</v>
      </c>
      <c r="F14" s="173">
        <v>20</v>
      </c>
      <c r="H14" s="16" t="s">
        <v>150</v>
      </c>
      <c r="L14" s="199">
        <v>14</v>
      </c>
      <c r="N14" s="226" t="s">
        <v>153</v>
      </c>
      <c r="Q14" s="160">
        <f>L14/K27</f>
        <v>19.58041958041958</v>
      </c>
      <c r="R14" s="160"/>
    </row>
    <row r="15" spans="1:19" ht="15" x14ac:dyDescent="0.2">
      <c r="A15" s="13"/>
      <c r="B15" s="16" t="s">
        <v>126</v>
      </c>
      <c r="F15" s="82">
        <v>0.06</v>
      </c>
      <c r="H15" s="16" t="s">
        <v>151</v>
      </c>
      <c r="L15" s="225">
        <v>0.3</v>
      </c>
      <c r="N15" s="16" t="s">
        <v>161</v>
      </c>
      <c r="R15" s="164">
        <f>L16/Price</f>
        <v>0.80888888888888888</v>
      </c>
    </row>
    <row r="16" spans="1:19" ht="15" x14ac:dyDescent="0.2">
      <c r="A16" s="13"/>
      <c r="B16" s="16" t="s">
        <v>141</v>
      </c>
      <c r="F16" s="201">
        <f>E7/Price</f>
        <v>30.488888888888887</v>
      </c>
      <c r="H16" s="16" t="s">
        <v>149</v>
      </c>
      <c r="L16" s="224">
        <f>L14*(1+L15)</f>
        <v>18.2</v>
      </c>
      <c r="N16" s="16" t="s">
        <v>160</v>
      </c>
      <c r="Q16" s="50">
        <f>1-R16</f>
        <v>0.74674665436086762</v>
      </c>
      <c r="R16" s="50">
        <f>F16/P26</f>
        <v>0.25325334563913243</v>
      </c>
    </row>
    <row r="17" spans="1:18" ht="15" x14ac:dyDescent="0.2">
      <c r="A17" s="13"/>
    </row>
    <row r="18" spans="1:18" ht="15" x14ac:dyDescent="0.2">
      <c r="A18" s="13"/>
      <c r="B18" s="12" t="s">
        <v>120</v>
      </c>
      <c r="C18" s="12"/>
      <c r="D18" s="12"/>
      <c r="E18" s="12"/>
      <c r="F18" s="12"/>
      <c r="H18" s="12" t="s">
        <v>121</v>
      </c>
      <c r="I18" s="12"/>
      <c r="J18" s="12"/>
      <c r="K18" s="12"/>
      <c r="L18" s="12"/>
      <c r="N18" s="85" t="s">
        <v>122</v>
      </c>
      <c r="O18" s="85"/>
      <c r="P18" s="85"/>
      <c r="Q18" s="85"/>
      <c r="R18" s="85"/>
    </row>
    <row r="19" spans="1:18" ht="5.0999999999999996" customHeight="1" x14ac:dyDescent="0.2">
      <c r="A19" s="13"/>
    </row>
    <row r="20" spans="1:18" ht="15" customHeight="1" x14ac:dyDescent="0.2">
      <c r="A20" s="13"/>
      <c r="D20" s="182">
        <v>2017</v>
      </c>
      <c r="E20" s="182">
        <v>2018</v>
      </c>
      <c r="F20" s="182">
        <v>2019</v>
      </c>
      <c r="J20" s="182">
        <v>2017</v>
      </c>
      <c r="K20" s="182">
        <v>2018</v>
      </c>
      <c r="L20" s="182">
        <v>2019</v>
      </c>
      <c r="P20" s="182">
        <v>2017</v>
      </c>
      <c r="Q20" s="182">
        <v>2018</v>
      </c>
      <c r="R20" s="182">
        <v>2019</v>
      </c>
    </row>
    <row r="21" spans="1:18" ht="15" x14ac:dyDescent="0.2">
      <c r="A21" s="13"/>
      <c r="B21" s="202" t="s">
        <v>10</v>
      </c>
      <c r="C21" s="202"/>
      <c r="D21" s="203">
        <f>DCF!F$39</f>
        <v>219.09999999999991</v>
      </c>
      <c r="E21" s="203">
        <f>DCF!G$39</f>
        <v>228.5184999999999</v>
      </c>
      <c r="F21" s="203">
        <f>DCF!H$39</f>
        <v>238.26664749999986</v>
      </c>
      <c r="H21" s="166" t="str">
        <f>$B21</f>
        <v>EBITDA</v>
      </c>
      <c r="I21" s="166"/>
      <c r="J21" s="204">
        <v>40</v>
      </c>
      <c r="K21" s="204">
        <v>50</v>
      </c>
      <c r="L21" s="204">
        <v>60</v>
      </c>
      <c r="N21" s="166" t="str">
        <f>$B21</f>
        <v>EBITDA</v>
      </c>
      <c r="O21" s="166"/>
      <c r="P21" s="195">
        <f>D21+J21+$F$14</f>
        <v>279.09999999999991</v>
      </c>
      <c r="Q21" s="195">
        <f>E21+K21+$F$14</f>
        <v>298.5184999999999</v>
      </c>
      <c r="R21" s="195">
        <f>F21+L21+$F$14</f>
        <v>318.26664749999986</v>
      </c>
    </row>
    <row r="22" spans="1:18" ht="15" x14ac:dyDescent="0.2">
      <c r="A22" s="13"/>
      <c r="B22" s="16" t="s">
        <v>9</v>
      </c>
      <c r="D22" s="39">
        <v>-20</v>
      </c>
      <c r="E22" s="39">
        <v>-21</v>
      </c>
      <c r="F22" s="39">
        <v>-22</v>
      </c>
      <c r="H22" s="16" t="str">
        <f t="shared" ref="H22:H26" si="0">$B22</f>
        <v>Less: D&amp;A</v>
      </c>
      <c r="J22" s="39">
        <v>-5</v>
      </c>
      <c r="K22" s="39">
        <v>-6</v>
      </c>
      <c r="L22" s="39">
        <v>-7</v>
      </c>
      <c r="N22" s="16" t="str">
        <f t="shared" ref="N22:N26" si="1">$B22</f>
        <v>Less: D&amp;A</v>
      </c>
      <c r="P22" s="39">
        <f>D22+J22</f>
        <v>-25</v>
      </c>
      <c r="Q22" s="39">
        <f>E22+K22</f>
        <v>-27</v>
      </c>
      <c r="R22" s="39">
        <f>F22+L22</f>
        <v>-29</v>
      </c>
    </row>
    <row r="23" spans="1:18" ht="15" x14ac:dyDescent="0.2">
      <c r="A23" s="13"/>
      <c r="B23" s="16" t="s">
        <v>125</v>
      </c>
      <c r="D23" s="39">
        <f>-D46</f>
        <v>-75</v>
      </c>
      <c r="E23" s="39">
        <f t="shared" ref="E23:F23" si="2">-E46</f>
        <v>-75</v>
      </c>
      <c r="F23" s="39">
        <f t="shared" si="2"/>
        <v>-75</v>
      </c>
      <c r="H23" s="16" t="s">
        <v>125</v>
      </c>
      <c r="J23" s="39">
        <f>-J46</f>
        <v>-8.25</v>
      </c>
      <c r="K23" s="39">
        <f t="shared" ref="K23:L23" si="3">-K46</f>
        <v>-8.25</v>
      </c>
      <c r="L23" s="39">
        <f t="shared" si="3"/>
        <v>-8.25</v>
      </c>
      <c r="N23" s="16" t="str">
        <f t="shared" si="1"/>
        <v>Less: Interest</v>
      </c>
      <c r="P23" s="39">
        <f>-P46</f>
        <v>-75</v>
      </c>
      <c r="Q23" s="39">
        <f t="shared" ref="Q23:R23" si="4">-Q46</f>
        <v>-75</v>
      </c>
      <c r="R23" s="39">
        <f t="shared" si="4"/>
        <v>-75</v>
      </c>
    </row>
    <row r="24" spans="1:18" ht="15" x14ac:dyDescent="0.2">
      <c r="A24" s="13"/>
      <c r="B24" s="16" t="s">
        <v>15</v>
      </c>
      <c r="D24" s="39">
        <f>SUM(D21:D23)*-$L$12</f>
        <v>-49.639999999999965</v>
      </c>
      <c r="E24" s="39">
        <f>SUM(E21:E23)*-$L$12</f>
        <v>-53.007399999999961</v>
      </c>
      <c r="F24" s="39">
        <f>SUM(F21:F23)*-$L$12</f>
        <v>-56.506658999999949</v>
      </c>
      <c r="H24" s="16" t="str">
        <f t="shared" si="0"/>
        <v>Less: Taxes</v>
      </c>
      <c r="J24" s="39">
        <f>SUM(J21:J23)*-$L$13</f>
        <v>-10.700000000000001</v>
      </c>
      <c r="K24" s="39">
        <f>SUM(K21:K23)*-$L$13</f>
        <v>-14.3</v>
      </c>
      <c r="L24" s="39">
        <f>SUM(L21:L23)*-$L$13</f>
        <v>-17.900000000000002</v>
      </c>
      <c r="N24" s="16" t="str">
        <f t="shared" si="1"/>
        <v>Less: Taxes</v>
      </c>
      <c r="P24" s="39">
        <f>SUM(P21:P23)*-$L$12</f>
        <v>-71.639999999999972</v>
      </c>
      <c r="Q24" s="39">
        <f>SUM(Q21:Q23)*-$L$12</f>
        <v>-78.60739999999997</v>
      </c>
      <c r="R24" s="39">
        <f>SUM(R21:R23)*-$L$12</f>
        <v>-85.706658999999945</v>
      </c>
    </row>
    <row r="25" spans="1:18" ht="15" x14ac:dyDescent="0.2">
      <c r="A25" s="13"/>
      <c r="B25" s="32" t="s">
        <v>124</v>
      </c>
      <c r="C25" s="32"/>
      <c r="D25" s="33">
        <f>SUM(D21:D24)</f>
        <v>74.459999999999951</v>
      </c>
      <c r="E25" s="33">
        <f t="shared" ref="E25:F25" si="5">SUM(E21:E24)</f>
        <v>79.511099999999942</v>
      </c>
      <c r="F25" s="33">
        <f t="shared" si="5"/>
        <v>84.759988499999906</v>
      </c>
      <c r="H25" s="32" t="str">
        <f t="shared" si="0"/>
        <v>Net Income</v>
      </c>
      <c r="I25" s="32"/>
      <c r="J25" s="33">
        <f>SUM(J21:J24)</f>
        <v>16.049999999999997</v>
      </c>
      <c r="K25" s="33">
        <f t="shared" ref="K25" si="6">SUM(K21:K24)</f>
        <v>21.45</v>
      </c>
      <c r="L25" s="33">
        <f t="shared" ref="L25" si="7">SUM(L21:L24)</f>
        <v>26.849999999999998</v>
      </c>
      <c r="N25" s="32" t="str">
        <f t="shared" si="1"/>
        <v>Net Income</v>
      </c>
      <c r="O25" s="32"/>
      <c r="P25" s="33">
        <f>SUM(P21:P24)</f>
        <v>107.45999999999994</v>
      </c>
      <c r="Q25" s="33">
        <f t="shared" ref="Q25" si="8">SUM(Q21:Q24)</f>
        <v>117.91109999999993</v>
      </c>
      <c r="R25" s="33">
        <f t="shared" ref="R25" si="9">SUM(R21:R24)</f>
        <v>128.55998849999992</v>
      </c>
    </row>
    <row r="26" spans="1:18" ht="15" customHeight="1" x14ac:dyDescent="0.2">
      <c r="A26" s="13"/>
      <c r="B26" s="198" t="s">
        <v>140</v>
      </c>
      <c r="C26" s="196"/>
      <c r="D26" s="207">
        <f>DCF!$J$5</f>
        <v>89.9</v>
      </c>
      <c r="E26" s="205">
        <f>D26</f>
        <v>89.9</v>
      </c>
      <c r="F26" s="205">
        <f>E26</f>
        <v>89.9</v>
      </c>
      <c r="H26" s="197" t="str">
        <f t="shared" si="0"/>
        <v>(/) Shares Outstanding</v>
      </c>
      <c r="I26" s="139"/>
      <c r="J26" s="206">
        <v>30</v>
      </c>
      <c r="K26" s="205">
        <f>J26</f>
        <v>30</v>
      </c>
      <c r="L26" s="205">
        <f>K26</f>
        <v>30</v>
      </c>
      <c r="N26" s="197" t="str">
        <f t="shared" si="1"/>
        <v>(/) Shares Outstanding</v>
      </c>
      <c r="O26" s="139"/>
      <c r="P26" s="205">
        <f>D26+$F$16</f>
        <v>120.38888888888889</v>
      </c>
      <c r="Q26" s="205">
        <f>P26</f>
        <v>120.38888888888889</v>
      </c>
      <c r="R26" s="205">
        <f>Q26</f>
        <v>120.38888888888889</v>
      </c>
    </row>
    <row r="27" spans="1:18" ht="15" customHeight="1" x14ac:dyDescent="0.2">
      <c r="A27" s="13"/>
      <c r="B27" s="32" t="s">
        <v>139</v>
      </c>
      <c r="C27" s="32"/>
      <c r="D27" s="132">
        <f>D25/D26</f>
        <v>0.82825361512791928</v>
      </c>
      <c r="E27" s="132">
        <f t="shared" ref="E27:F27" si="10">E25/E26</f>
        <v>0.88443937708565001</v>
      </c>
      <c r="F27" s="132">
        <f t="shared" si="10"/>
        <v>0.94282523359287984</v>
      </c>
      <c r="H27" s="32" t="s">
        <v>139</v>
      </c>
      <c r="I27" s="32"/>
      <c r="J27" s="132">
        <f>J25/J26</f>
        <v>0.53499999999999992</v>
      </c>
      <c r="K27" s="132">
        <f t="shared" ref="K27" si="11">K25/K26</f>
        <v>0.71499999999999997</v>
      </c>
      <c r="L27" s="132">
        <f t="shared" ref="L27" si="12">L25/L26</f>
        <v>0.89499999999999991</v>
      </c>
      <c r="N27" s="32" t="s">
        <v>139</v>
      </c>
      <c r="O27" s="32"/>
      <c r="P27" s="132">
        <f>P25/P26</f>
        <v>0.89260729118597093</v>
      </c>
      <c r="Q27" s="132">
        <f t="shared" ref="Q27" si="13">Q25/Q26</f>
        <v>0.97941845869866118</v>
      </c>
      <c r="R27" s="132">
        <f t="shared" ref="R27" si="14">R25/R26</f>
        <v>1.0678725394554678</v>
      </c>
    </row>
    <row r="28" spans="1:18" ht="15" customHeight="1" x14ac:dyDescent="0.2">
      <c r="A28" s="13"/>
      <c r="B28"/>
      <c r="C28"/>
      <c r="D28"/>
      <c r="E28"/>
      <c r="F28"/>
      <c r="G28"/>
      <c r="H28"/>
      <c r="I28"/>
      <c r="J28"/>
      <c r="K28"/>
      <c r="L28"/>
      <c r="N28" s="212" t="s">
        <v>143</v>
      </c>
      <c r="O28" s="212"/>
      <c r="P28" s="213"/>
      <c r="Q28" s="213">
        <f>Q27-E27</f>
        <v>9.4979081613011163E-2</v>
      </c>
      <c r="R28" s="213">
        <f>R27-F27</f>
        <v>0.12504730586258794</v>
      </c>
    </row>
    <row r="29" spans="1:18" ht="15" customHeight="1" x14ac:dyDescent="0.2">
      <c r="A29" s="13"/>
      <c r="B29"/>
      <c r="C29"/>
      <c r="D29"/>
      <c r="E29"/>
      <c r="F29"/>
      <c r="G29"/>
      <c r="H29"/>
      <c r="I29"/>
      <c r="J29"/>
      <c r="K29"/>
      <c r="L29"/>
      <c r="N29" s="214" t="s">
        <v>144</v>
      </c>
      <c r="O29" s="214"/>
      <c r="P29" s="215"/>
      <c r="Q29" s="216">
        <f>Q27/E27-1</f>
        <v>0.10738902413637486</v>
      </c>
      <c r="R29" s="216">
        <f>R27/F27-1</f>
        <v>0.13263041909269102</v>
      </c>
    </row>
    <row r="30" spans="1:18" ht="15" customHeight="1" x14ac:dyDescent="0.2">
      <c r="A30" s="13"/>
      <c r="B30"/>
      <c r="C30"/>
      <c r="D30"/>
      <c r="E30"/>
      <c r="F30"/>
      <c r="G30"/>
      <c r="H30"/>
      <c r="I30"/>
      <c r="J30"/>
      <c r="K30"/>
      <c r="L30"/>
      <c r="N30" s="217" t="s">
        <v>156</v>
      </c>
      <c r="O30" s="217"/>
      <c r="P30" s="218"/>
      <c r="Q30" s="219">
        <f>-(Q28*Q26)/(1-$L$12)</f>
        <v>-19.057376838462517</v>
      </c>
      <c r="R30" s="219">
        <f>-(R28*R26)/(1-$L$12)</f>
        <v>-25.090510352243342</v>
      </c>
    </row>
    <row r="31" spans="1:18" ht="15" customHeight="1" x14ac:dyDescent="0.2">
      <c r="A31" s="13"/>
      <c r="N31" s="217" t="s">
        <v>157</v>
      </c>
      <c r="O31" s="217"/>
      <c r="P31" s="218"/>
      <c r="Q31" s="220">
        <f>Q30+$F$14</f>
        <v>0.94262316153748316</v>
      </c>
      <c r="R31" s="220">
        <f>R30+$F$14</f>
        <v>-5.0905103522433421</v>
      </c>
    </row>
    <row r="32" spans="1:18" ht="15" x14ac:dyDescent="0.2">
      <c r="A32" s="13"/>
    </row>
    <row r="33" spans="1:54" ht="15" x14ac:dyDescent="0.2">
      <c r="A33" s="13"/>
      <c r="B33" s="16" t="s">
        <v>158</v>
      </c>
      <c r="D33" s="39">
        <f>-D22</f>
        <v>20</v>
      </c>
      <c r="E33" s="39">
        <f t="shared" ref="E33:F33" si="15">-E22</f>
        <v>21</v>
      </c>
      <c r="F33" s="39">
        <f t="shared" si="15"/>
        <v>22</v>
      </c>
      <c r="H33" s="16" t="str">
        <f t="shared" ref="H33:H35" si="16">$B33</f>
        <v>Plus: D&amp;A</v>
      </c>
      <c r="J33" s="39">
        <f>-J22</f>
        <v>5</v>
      </c>
      <c r="K33" s="39">
        <f t="shared" ref="K33:L33" si="17">-K22</f>
        <v>6</v>
      </c>
      <c r="L33" s="39">
        <f t="shared" si="17"/>
        <v>7</v>
      </c>
      <c r="N33" s="16" t="str">
        <f t="shared" ref="N33:N35" si="18">$B33</f>
        <v>Plus: D&amp;A</v>
      </c>
      <c r="P33" s="39">
        <f t="shared" ref="P33:R35" si="19">D33+J33</f>
        <v>25</v>
      </c>
      <c r="Q33" s="39">
        <f t="shared" si="19"/>
        <v>27</v>
      </c>
      <c r="R33" s="39">
        <f t="shared" si="19"/>
        <v>29</v>
      </c>
    </row>
    <row r="34" spans="1:54" ht="15" x14ac:dyDescent="0.2">
      <c r="A34" s="13"/>
      <c r="B34" s="16" t="s">
        <v>16</v>
      </c>
      <c r="D34" s="183">
        <f>DCF!F47</f>
        <v>-53.82</v>
      </c>
      <c r="E34" s="183">
        <f>DCF!G47</f>
        <v>-55.703699999999998</v>
      </c>
      <c r="F34" s="183">
        <f>DCF!H47</f>
        <v>-57.653329499999991</v>
      </c>
      <c r="H34" s="16" t="str">
        <f t="shared" si="16"/>
        <v>Less: Capex</v>
      </c>
      <c r="J34" s="172">
        <v>-5</v>
      </c>
      <c r="K34" s="39">
        <f>-J34/J21*K21</f>
        <v>6.25</v>
      </c>
      <c r="L34" s="39">
        <f>-K34/K21*L21</f>
        <v>-7.5</v>
      </c>
      <c r="N34" s="16" t="str">
        <f t="shared" si="18"/>
        <v>Less: Capex</v>
      </c>
      <c r="P34" s="39">
        <f t="shared" si="19"/>
        <v>-58.82</v>
      </c>
      <c r="Q34" s="39">
        <f t="shared" si="19"/>
        <v>-49.453699999999998</v>
      </c>
      <c r="R34" s="39">
        <f t="shared" si="19"/>
        <v>-65.153329499999984</v>
      </c>
    </row>
    <row r="35" spans="1:54" ht="15" x14ac:dyDescent="0.2">
      <c r="A35" s="13"/>
      <c r="B35" s="16" t="s">
        <v>17</v>
      </c>
      <c r="D35" s="183">
        <f>DCF!F48</f>
        <v>-15</v>
      </c>
      <c r="E35" s="183">
        <f>DCF!G48</f>
        <v>-15</v>
      </c>
      <c r="F35" s="183">
        <f>DCF!H48</f>
        <v>-15</v>
      </c>
      <c r="H35" s="16" t="str">
        <f t="shared" si="16"/>
        <v>Less: Change in NWC</v>
      </c>
      <c r="J35" s="172">
        <v>-2</v>
      </c>
      <c r="K35" s="172">
        <v>-2</v>
      </c>
      <c r="L35" s="172">
        <v>-2</v>
      </c>
      <c r="N35" s="16" t="str">
        <f t="shared" si="18"/>
        <v>Less: Change in NWC</v>
      </c>
      <c r="P35" s="39">
        <f t="shared" si="19"/>
        <v>-17</v>
      </c>
      <c r="Q35" s="39">
        <f t="shared" si="19"/>
        <v>-17</v>
      </c>
      <c r="R35" s="39">
        <f t="shared" si="19"/>
        <v>-17</v>
      </c>
    </row>
    <row r="36" spans="1:54" ht="15" x14ac:dyDescent="0.2">
      <c r="A36" s="13"/>
      <c r="B36" s="221" t="s">
        <v>159</v>
      </c>
      <c r="C36" s="189"/>
      <c r="D36" s="189">
        <f>D25+SUM(D33:D35)</f>
        <v>25.639999999999951</v>
      </c>
      <c r="E36" s="189">
        <f t="shared" ref="E36:F36" si="20">E25+SUM(E33:E35)</f>
        <v>29.807399999999944</v>
      </c>
      <c r="F36" s="189">
        <f t="shared" si="20"/>
        <v>34.106658999999915</v>
      </c>
      <c r="H36" s="221" t="s">
        <v>159</v>
      </c>
      <c r="I36" s="189"/>
      <c r="J36" s="189">
        <f>J25+SUM(J33:J35)</f>
        <v>14.049999999999997</v>
      </c>
      <c r="K36" s="189">
        <f t="shared" ref="K36" si="21">K25+SUM(K33:K35)</f>
        <v>31.7</v>
      </c>
      <c r="L36" s="189">
        <f t="shared" ref="L36" si="22">L25+SUM(L33:L35)</f>
        <v>24.349999999999998</v>
      </c>
      <c r="N36" s="221" t="s">
        <v>159</v>
      </c>
      <c r="O36" s="189"/>
      <c r="P36" s="189">
        <f>P25+SUM(P33:P35)</f>
        <v>56.639999999999937</v>
      </c>
      <c r="Q36" s="189">
        <f t="shared" ref="Q36" si="23">Q25+SUM(Q33:Q35)</f>
        <v>78.457399999999936</v>
      </c>
      <c r="R36" s="189">
        <f t="shared" ref="R36" si="24">R25+SUM(R33:R35)</f>
        <v>75.406658999999934</v>
      </c>
    </row>
    <row r="37" spans="1:54" ht="15" x14ac:dyDescent="0.2">
      <c r="A37" s="13"/>
      <c r="BA37" s="16"/>
      <c r="BB37" s="17"/>
    </row>
    <row r="38" spans="1:54" ht="15" x14ac:dyDescent="0.2">
      <c r="A38" s="13"/>
      <c r="B38" s="12" t="s">
        <v>129</v>
      </c>
      <c r="C38" s="12"/>
      <c r="D38" s="12"/>
      <c r="E38" s="12"/>
      <c r="F38" s="12"/>
      <c r="H38" s="12" t="s">
        <v>130</v>
      </c>
      <c r="I38" s="12"/>
      <c r="J38" s="12"/>
      <c r="K38" s="12"/>
      <c r="L38" s="12"/>
      <c r="N38" s="85" t="s">
        <v>131</v>
      </c>
      <c r="O38" s="85"/>
      <c r="P38" s="85"/>
      <c r="Q38" s="85"/>
      <c r="R38" s="85"/>
    </row>
    <row r="39" spans="1:54" ht="5.0999999999999996" customHeight="1" x14ac:dyDescent="0.2">
      <c r="A39" s="13"/>
    </row>
    <row r="40" spans="1:54" ht="15" x14ac:dyDescent="0.2">
      <c r="A40" s="13"/>
      <c r="B40" s="16" t="s">
        <v>147</v>
      </c>
      <c r="D40" s="183">
        <f>DCF!$E$9</f>
        <v>1500</v>
      </c>
      <c r="E40" s="25">
        <f>D40</f>
        <v>1500</v>
      </c>
      <c r="F40" s="25">
        <f>E40</f>
        <v>1500</v>
      </c>
      <c r="H40" s="16" t="str">
        <f>$B40</f>
        <v>Original Debt</v>
      </c>
      <c r="J40" s="45">
        <v>150</v>
      </c>
      <c r="K40" s="10">
        <f>J40</f>
        <v>150</v>
      </c>
      <c r="L40" s="10">
        <f>K40</f>
        <v>150</v>
      </c>
      <c r="N40" s="16" t="s">
        <v>133</v>
      </c>
      <c r="P40" s="25">
        <f>D40</f>
        <v>1500</v>
      </c>
      <c r="Q40" s="25">
        <f>E40</f>
        <v>1500</v>
      </c>
      <c r="R40" s="25">
        <f>F40</f>
        <v>1500</v>
      </c>
    </row>
    <row r="41" spans="1:54" ht="15" x14ac:dyDescent="0.2">
      <c r="A41" s="13"/>
      <c r="N41" s="16" t="s">
        <v>134</v>
      </c>
      <c r="P41" s="25">
        <f>E6</f>
        <v>0</v>
      </c>
      <c r="Q41" s="25">
        <f>P41</f>
        <v>0</v>
      </c>
      <c r="R41" s="25">
        <f>Q41</f>
        <v>0</v>
      </c>
    </row>
    <row r="42" spans="1:54" ht="15" x14ac:dyDescent="0.2">
      <c r="A42" s="13"/>
      <c r="B42" s="167" t="s">
        <v>132</v>
      </c>
      <c r="C42" s="194"/>
      <c r="D42" s="174">
        <f>SUM(D40:D41)</f>
        <v>1500</v>
      </c>
      <c r="E42" s="174">
        <f t="shared" ref="E42:F42" si="25">SUM(E40:E41)</f>
        <v>1500</v>
      </c>
      <c r="F42" s="174">
        <f t="shared" si="25"/>
        <v>1500</v>
      </c>
      <c r="H42" s="167" t="s">
        <v>132</v>
      </c>
      <c r="I42" s="194"/>
      <c r="J42" s="174">
        <f>SUM(J40:J41)</f>
        <v>150</v>
      </c>
      <c r="K42" s="174">
        <f t="shared" ref="K42" si="26">SUM(K40:K41)</f>
        <v>150</v>
      </c>
      <c r="L42" s="174">
        <f t="shared" ref="L42" si="27">SUM(L40:L41)</f>
        <v>150</v>
      </c>
      <c r="N42" s="167" t="s">
        <v>132</v>
      </c>
      <c r="O42" s="194"/>
      <c r="P42" s="174">
        <f>SUM(P40:P41)</f>
        <v>1500</v>
      </c>
      <c r="Q42" s="174">
        <f t="shared" ref="Q42" si="28">SUM(Q40:Q41)</f>
        <v>1500</v>
      </c>
      <c r="R42" s="174">
        <f t="shared" ref="R42" si="29">SUM(R40:R41)</f>
        <v>1500</v>
      </c>
    </row>
    <row r="43" spans="1:54" ht="15" x14ac:dyDescent="0.2">
      <c r="A43" s="13"/>
    </row>
    <row r="44" spans="1:54" ht="15" x14ac:dyDescent="0.2">
      <c r="A44" s="13"/>
      <c r="B44" s="16" t="s">
        <v>135</v>
      </c>
      <c r="D44" s="185">
        <v>0.05</v>
      </c>
      <c r="E44" s="186">
        <f>D44</f>
        <v>0.05</v>
      </c>
      <c r="F44" s="186">
        <f>E44</f>
        <v>0.05</v>
      </c>
      <c r="H44" s="16" t="str">
        <f>$B44</f>
        <v>Interest Rate</v>
      </c>
      <c r="J44" s="184">
        <v>5.5E-2</v>
      </c>
      <c r="K44" s="79">
        <v>5.5E-2</v>
      </c>
      <c r="L44" s="79">
        <v>5.5E-2</v>
      </c>
      <c r="N44" s="16" t="s">
        <v>136</v>
      </c>
      <c r="P44" s="187">
        <f>D44</f>
        <v>0.05</v>
      </c>
      <c r="Q44" s="186">
        <f>P44</f>
        <v>0.05</v>
      </c>
      <c r="R44" s="186">
        <f>Q44</f>
        <v>0.05</v>
      </c>
    </row>
    <row r="45" spans="1:54" ht="15" x14ac:dyDescent="0.2">
      <c r="A45" s="13"/>
      <c r="N45" s="16" t="s">
        <v>137</v>
      </c>
      <c r="P45" s="187">
        <f>$F$15</f>
        <v>0.06</v>
      </c>
      <c r="Q45" s="186">
        <f>P45</f>
        <v>0.06</v>
      </c>
      <c r="R45" s="186">
        <f>Q45</f>
        <v>0.06</v>
      </c>
    </row>
    <row r="46" spans="1:54" ht="15" x14ac:dyDescent="0.2">
      <c r="A46" s="13"/>
      <c r="B46" s="191" t="s">
        <v>138</v>
      </c>
      <c r="C46" s="192"/>
      <c r="D46" s="193">
        <f>D44*D40</f>
        <v>75</v>
      </c>
      <c r="E46" s="193">
        <f t="shared" ref="E46:F46" si="30">E44*E40</f>
        <v>75</v>
      </c>
      <c r="F46" s="193">
        <f t="shared" si="30"/>
        <v>75</v>
      </c>
      <c r="H46" s="167" t="str">
        <f>$B46</f>
        <v>Total Interest</v>
      </c>
      <c r="I46" s="194"/>
      <c r="J46" s="175">
        <f>J44*J40</f>
        <v>8.25</v>
      </c>
      <c r="K46" s="175">
        <f t="shared" ref="K46:L46" si="31">K44*K40</f>
        <v>8.25</v>
      </c>
      <c r="L46" s="175">
        <f t="shared" si="31"/>
        <v>8.25</v>
      </c>
      <c r="N46" s="167" t="s">
        <v>138</v>
      </c>
      <c r="O46" s="194"/>
      <c r="P46" s="175">
        <f>P40*P44+P41*P45</f>
        <v>75</v>
      </c>
      <c r="Q46" s="175">
        <f t="shared" ref="Q46:R46" si="32">Q40*Q44+Q41*Q45</f>
        <v>75</v>
      </c>
      <c r="R46" s="175">
        <f t="shared" si="32"/>
        <v>75</v>
      </c>
    </row>
    <row r="47" spans="1:54" ht="15" x14ac:dyDescent="0.2">
      <c r="A47" s="13"/>
    </row>
    <row r="48" spans="1:54" ht="15" x14ac:dyDescent="0.2">
      <c r="A48" s="13"/>
    </row>
    <row r="49" spans="1:1" ht="15" x14ac:dyDescent="0.2">
      <c r="A49" s="13"/>
    </row>
    <row r="50" spans="1:1" ht="15" x14ac:dyDescent="0.2">
      <c r="A50" s="13"/>
    </row>
    <row r="51" spans="1:1" ht="15" x14ac:dyDescent="0.2">
      <c r="A51" s="13"/>
    </row>
    <row r="52" spans="1:1" ht="15" x14ac:dyDescent="0.2">
      <c r="A52" s="13"/>
    </row>
    <row r="53" spans="1:1" ht="15" x14ac:dyDescent="0.2">
      <c r="A53" s="13"/>
    </row>
    <row r="54" spans="1:1" ht="15" x14ac:dyDescent="0.2">
      <c r="A54" s="13"/>
    </row>
    <row r="55" spans="1:1" ht="15" x14ac:dyDescent="0.2">
      <c r="A55" s="13"/>
    </row>
    <row r="56" spans="1:1" ht="15" x14ac:dyDescent="0.2">
      <c r="A56" s="13"/>
    </row>
    <row r="57" spans="1:1" ht="15" x14ac:dyDescent="0.2">
      <c r="A57" s="13"/>
    </row>
    <row r="58" spans="1:1" ht="15" x14ac:dyDescent="0.2">
      <c r="A58" s="13"/>
    </row>
    <row r="59" spans="1:1" ht="15" x14ac:dyDescent="0.2">
      <c r="A59" s="13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outlinePr summaryBelow="0" summaryRight="0"/>
  </sheetPr>
  <dimension ref="A1:BC162"/>
  <sheetViews>
    <sheetView showGridLines="0" zoomScale="80" zoomScaleNormal="80" zoomScaleSheetLayoutView="80" workbookViewId="0">
      <selection activeCell="H11" sqref="H11"/>
    </sheetView>
  </sheetViews>
  <sheetFormatPr defaultColWidth="12.7109375" defaultRowHeight="12.75" x14ac:dyDescent="0.2"/>
  <cols>
    <col min="1" max="1" width="2.7109375" style="18" customWidth="1"/>
    <col min="2" max="8" width="12.7109375" style="16"/>
    <col min="9" max="9" width="12.7109375" style="16" customWidth="1"/>
    <col min="10" max="11" width="12.7109375" style="16"/>
    <col min="12" max="12" width="2.7109375" style="16" customWidth="1"/>
    <col min="13" max="13" width="11.7109375" style="16" customWidth="1"/>
    <col min="14" max="18" width="8.7109375" style="16" customWidth="1"/>
    <col min="19" max="19" width="1.7109375" style="16" customWidth="1"/>
    <col min="20" max="54" width="12.7109375" style="16"/>
    <col min="55" max="55" width="12.7109375" style="17"/>
    <col min="56" max="16384" width="12.7109375" style="16"/>
  </cols>
  <sheetData>
    <row r="1" spans="1:54" ht="30" customHeight="1" x14ac:dyDescent="0.25">
      <c r="A1" s="66"/>
      <c r="B1" s="22" t="s">
        <v>19</v>
      </c>
      <c r="C1" s="21"/>
      <c r="D1" s="21"/>
      <c r="E1" s="21"/>
      <c r="F1" s="21"/>
      <c r="G1" s="21"/>
      <c r="H1" s="21"/>
      <c r="I1" s="21"/>
      <c r="J1" s="21"/>
      <c r="K1" s="21"/>
      <c r="L1"/>
      <c r="M1"/>
      <c r="N1"/>
      <c r="O1" s="20"/>
      <c r="P1" s="20"/>
      <c r="Q1" s="20"/>
      <c r="R1" s="20"/>
      <c r="S1" s="20"/>
      <c r="T1" s="20"/>
    </row>
    <row r="2" spans="1:54" ht="15" x14ac:dyDescent="0.2">
      <c r="A2" s="13"/>
      <c r="L2"/>
      <c r="M2"/>
      <c r="N2"/>
    </row>
    <row r="3" spans="1:54" s="9" customFormat="1" ht="15" x14ac:dyDescent="0.2">
      <c r="A3" s="13"/>
      <c r="B3" s="64" t="s">
        <v>12</v>
      </c>
      <c r="C3" s="11"/>
      <c r="D3" s="11"/>
      <c r="E3"/>
      <c r="F3" s="12" t="s">
        <v>19</v>
      </c>
      <c r="G3" s="11"/>
      <c r="H3" s="11"/>
      <c r="J3"/>
      <c r="K3"/>
      <c r="L3"/>
      <c r="M3"/>
      <c r="R3" s="16"/>
      <c r="BB3" s="3"/>
    </row>
    <row r="4" spans="1:54" s="9" customFormat="1" ht="5.0999999999999996" customHeight="1" x14ac:dyDescent="0.2">
      <c r="A4" s="13"/>
      <c r="D4" s="16"/>
      <c r="L4"/>
      <c r="M4"/>
      <c r="R4" s="16"/>
      <c r="BB4" s="3"/>
    </row>
    <row r="5" spans="1:54" ht="15" x14ac:dyDescent="0.2">
      <c r="A5" s="13"/>
      <c r="B5" s="19" t="s">
        <v>46</v>
      </c>
      <c r="D5" s="58">
        <v>5.9700000000000003E-2</v>
      </c>
      <c r="F5" s="16" t="s">
        <v>62</v>
      </c>
      <c r="H5" s="112">
        <f ca="1">J25</f>
        <v>0.92768786127167635</v>
      </c>
      <c r="L5"/>
      <c r="M5"/>
    </row>
    <row r="6" spans="1:54" ht="15" x14ac:dyDescent="0.2">
      <c r="A6" s="13"/>
      <c r="B6" s="19" t="s">
        <v>47</v>
      </c>
      <c r="D6" s="58">
        <v>3.0200000000000001E-2</v>
      </c>
      <c r="F6" s="109" t="s">
        <v>72</v>
      </c>
      <c r="H6" s="107">
        <f ca="1">H5*(1+(1-Tax)*(H9))</f>
        <v>1.233279156749405</v>
      </c>
      <c r="K6"/>
      <c r="L6"/>
      <c r="M6"/>
    </row>
    <row r="7" spans="1:54" ht="15" x14ac:dyDescent="0.2">
      <c r="A7" s="13"/>
      <c r="B7" s="19" t="s">
        <v>48</v>
      </c>
      <c r="D7" s="58">
        <v>6.0000000000000001E-3</v>
      </c>
      <c r="F7" s="16" t="s">
        <v>70</v>
      </c>
      <c r="H7" s="285">
        <f ca="1">F25</f>
        <v>0.32</v>
      </c>
      <c r="L7"/>
      <c r="M7"/>
    </row>
    <row r="8" spans="1:54" ht="15" x14ac:dyDescent="0.2">
      <c r="A8" s="13"/>
      <c r="B8" s="40" t="s">
        <v>13</v>
      </c>
      <c r="C8" s="81"/>
      <c r="D8" s="82">
        <v>0.3</v>
      </c>
      <c r="F8" s="16" t="s">
        <v>71</v>
      </c>
      <c r="H8" s="63">
        <v>0.67999999999999994</v>
      </c>
      <c r="L8"/>
      <c r="M8"/>
    </row>
    <row r="9" spans="1:54" ht="15" x14ac:dyDescent="0.2">
      <c r="A9" s="13"/>
      <c r="B9" s="83" t="s">
        <v>66</v>
      </c>
      <c r="C9" s="81"/>
      <c r="D9" s="111">
        <f>100/DCF!E9</f>
        <v>6.6666666666666666E-2</v>
      </c>
      <c r="F9" s="16" t="s">
        <v>63</v>
      </c>
      <c r="H9" s="108">
        <f ca="1">H7/H8</f>
        <v>0.4705882352941177</v>
      </c>
      <c r="L9"/>
      <c r="M9"/>
    </row>
    <row r="10" spans="1:54" ht="15" x14ac:dyDescent="0.2">
      <c r="A10" s="13"/>
      <c r="F10" s="16" t="s">
        <v>97</v>
      </c>
      <c r="H10" s="79">
        <f>(1-Tax)*D9</f>
        <v>4.6666666666666662E-2</v>
      </c>
      <c r="L10"/>
      <c r="M10"/>
    </row>
    <row r="11" spans="1:54" ht="15" x14ac:dyDescent="0.2">
      <c r="A11" s="13"/>
      <c r="B11" s="16" t="s">
        <v>49</v>
      </c>
      <c r="C11" s="50">
        <f ca="1">D11/SUM($D$11:$D$12)</f>
        <v>0.43120873197682252</v>
      </c>
      <c r="D11" s="60">
        <f>DCF!E9+DCF!E12</f>
        <v>1536</v>
      </c>
      <c r="F11" s="16" t="s">
        <v>61</v>
      </c>
      <c r="H11" s="79">
        <f ca="1">H6*D5+D6+D7</f>
        <v>0.10982676565793949</v>
      </c>
      <c r="L11"/>
      <c r="M11"/>
    </row>
    <row r="12" spans="1:54" ht="15" x14ac:dyDescent="0.2">
      <c r="A12" s="13"/>
      <c r="B12" s="16" t="s">
        <v>50</v>
      </c>
      <c r="C12" s="50">
        <f ca="1">D12/SUM($D$11:$D$12)</f>
        <v>0.56879126802317748</v>
      </c>
      <c r="D12" s="59">
        <f ca="1">SUM(DCF!E7)</f>
        <v>2026.08</v>
      </c>
      <c r="F12" s="283" t="s">
        <v>19</v>
      </c>
      <c r="G12" s="283"/>
      <c r="H12" s="284">
        <f ca="1">SUMPRODUCT(H7:H8,H10:H11)</f>
        <v>8.9615533980732173E-2</v>
      </c>
      <c r="I12" s="16" t="b">
        <f ca="1">H12=P33</f>
        <v>1</v>
      </c>
      <c r="L12"/>
      <c r="M12"/>
    </row>
    <row r="13" spans="1:54" ht="15" x14ac:dyDescent="0.2">
      <c r="A13" s="13"/>
      <c r="L13"/>
      <c r="M13"/>
    </row>
    <row r="14" spans="1:54" ht="15" x14ac:dyDescent="0.2">
      <c r="A14" s="13"/>
      <c r="B14" s="64" t="s">
        <v>51</v>
      </c>
      <c r="C14" s="11"/>
      <c r="D14" s="11"/>
      <c r="E14" s="11"/>
      <c r="F14" s="11"/>
      <c r="G14" s="11"/>
      <c r="H14" s="11"/>
      <c r="I14" s="11"/>
      <c r="J14" s="11"/>
      <c r="K14" s="11"/>
      <c r="L14"/>
      <c r="M14"/>
    </row>
    <row r="15" spans="1:54" ht="5.0999999999999996" customHeight="1" x14ac:dyDescent="0.2">
      <c r="A15" s="13"/>
      <c r="B15" s="43"/>
      <c r="C15" s="2"/>
      <c r="F15" s="2"/>
      <c r="G15" s="2"/>
      <c r="H15" s="2"/>
      <c r="I15" s="2"/>
      <c r="J15" s="2"/>
      <c r="K15" s="2"/>
      <c r="L15"/>
      <c r="M15"/>
    </row>
    <row r="16" spans="1:54" ht="15" x14ac:dyDescent="0.2">
      <c r="A16" s="13"/>
      <c r="H16" s="297" t="s">
        <v>73</v>
      </c>
      <c r="I16" s="99"/>
      <c r="J16" s="297" t="s">
        <v>74</v>
      </c>
      <c r="K16" s="99"/>
      <c r="L16"/>
      <c r="M16"/>
    </row>
    <row r="17" spans="1:20" ht="15" x14ac:dyDescent="0.2">
      <c r="A17" s="13"/>
      <c r="B17" s="69" t="s">
        <v>53</v>
      </c>
      <c r="C17" s="70"/>
      <c r="D17" s="71" t="s">
        <v>49</v>
      </c>
      <c r="E17" s="71" t="s">
        <v>50</v>
      </c>
      <c r="F17" s="71" t="s">
        <v>239</v>
      </c>
      <c r="G17" s="71" t="s">
        <v>240</v>
      </c>
      <c r="H17" s="282" t="s">
        <v>54</v>
      </c>
      <c r="I17" s="71" t="s">
        <v>55</v>
      </c>
      <c r="J17" s="71" t="s">
        <v>54</v>
      </c>
      <c r="K17" s="71" t="s">
        <v>55</v>
      </c>
      <c r="L17"/>
      <c r="M17"/>
    </row>
    <row r="18" spans="1:20" ht="15" x14ac:dyDescent="0.2">
      <c r="A18" s="13"/>
      <c r="B18" s="16" t="s">
        <v>52</v>
      </c>
      <c r="C18" s="2"/>
      <c r="D18" s="103">
        <v>1900</v>
      </c>
      <c r="E18" s="106">
        <f>D18/F18-D18</f>
        <v>4433.3333333333339</v>
      </c>
      <c r="F18" s="72">
        <v>0.3</v>
      </c>
      <c r="G18" s="72">
        <f>1-F18</f>
        <v>0.7</v>
      </c>
      <c r="H18" s="73">
        <v>1.228</v>
      </c>
      <c r="I18" s="73">
        <v>1.448</v>
      </c>
      <c r="J18" s="74">
        <f t="shared" ref="J18:K22" ca="1" si="0">UnleveredBeta(H18,Tax,$F18,$G18)</f>
        <v>0.94461538461538452</v>
      </c>
      <c r="K18" s="74">
        <f t="shared" ca="1" si="0"/>
        <v>1.1138461538461537</v>
      </c>
      <c r="L18"/>
      <c r="M18"/>
      <c r="N18"/>
      <c r="O18"/>
    </row>
    <row r="19" spans="1:20" ht="15" x14ac:dyDescent="0.2">
      <c r="A19" s="13"/>
      <c r="B19" s="16" t="s">
        <v>57</v>
      </c>
      <c r="D19" s="101">
        <v>1585</v>
      </c>
      <c r="E19" s="110">
        <f t="shared" ref="E19:E21" si="1">D19/F19-D19</f>
        <v>3368.125</v>
      </c>
      <c r="F19" s="72">
        <v>0.32</v>
      </c>
      <c r="G19" s="72">
        <f t="shared" ref="G19:G21" si="2">1-F19</f>
        <v>0.67999999999999994</v>
      </c>
      <c r="H19" s="73">
        <v>1.3440000000000001</v>
      </c>
      <c r="I19" s="73">
        <v>1.3540000000000001</v>
      </c>
      <c r="J19" s="74">
        <f t="shared" ca="1" si="0"/>
        <v>1.0109734513274338</v>
      </c>
      <c r="K19" s="74">
        <f t="shared" ca="1" si="0"/>
        <v>1.018495575221239</v>
      </c>
      <c r="L19"/>
      <c r="M19"/>
    </row>
    <row r="20" spans="1:20" ht="15" x14ac:dyDescent="0.2">
      <c r="A20" s="13"/>
      <c r="B20" s="16" t="s">
        <v>58</v>
      </c>
      <c r="D20" s="101">
        <v>1025</v>
      </c>
      <c r="E20" s="110">
        <f t="shared" si="1"/>
        <v>1252.7777777777778</v>
      </c>
      <c r="F20" s="72">
        <v>0.45</v>
      </c>
      <c r="G20" s="72">
        <f t="shared" si="2"/>
        <v>0.55000000000000004</v>
      </c>
      <c r="H20" s="73">
        <v>1.4590000000000001</v>
      </c>
      <c r="I20" s="73">
        <v>1.59</v>
      </c>
      <c r="J20" s="74">
        <f t="shared" ca="1" si="0"/>
        <v>0.92768786127167635</v>
      </c>
      <c r="K20" s="74">
        <f t="shared" ca="1" si="0"/>
        <v>1.0109826589595377</v>
      </c>
      <c r="L20"/>
      <c r="M20"/>
    </row>
    <row r="21" spans="1:20" ht="15" x14ac:dyDescent="0.2">
      <c r="A21" s="13"/>
      <c r="B21" s="16" t="s">
        <v>59</v>
      </c>
      <c r="D21" s="101">
        <v>969</v>
      </c>
      <c r="E21" s="110">
        <f t="shared" si="1"/>
        <v>3244.0434782608691</v>
      </c>
      <c r="F21" s="72">
        <v>0.23</v>
      </c>
      <c r="G21" s="72">
        <f t="shared" si="2"/>
        <v>0.77</v>
      </c>
      <c r="H21" s="73">
        <v>1.0112000000000001</v>
      </c>
      <c r="I21" s="73">
        <v>1.1000000000000001</v>
      </c>
      <c r="J21" s="74">
        <f t="shared" ca="1" si="0"/>
        <v>0.83633082706766937</v>
      </c>
      <c r="K21" s="74">
        <f t="shared" ca="1" si="0"/>
        <v>0.90977443609022568</v>
      </c>
      <c r="L21"/>
      <c r="M21"/>
    </row>
    <row r="22" spans="1:20" ht="15" x14ac:dyDescent="0.2">
      <c r="A22" s="13"/>
      <c r="B22" s="68" t="s">
        <v>60</v>
      </c>
      <c r="C22" s="68"/>
      <c r="D22" s="102">
        <f>DCF!E9+DCF!E12</f>
        <v>1536</v>
      </c>
      <c r="E22" s="102">
        <f ca="1">DCF!E7</f>
        <v>2026.08</v>
      </c>
      <c r="F22" s="75">
        <f ca="1">C11</f>
        <v>0.43120873197682252</v>
      </c>
      <c r="G22" s="75">
        <f ca="1">C12</f>
        <v>0.56879126802317748</v>
      </c>
      <c r="H22" s="76">
        <v>1.1120000000000001</v>
      </c>
      <c r="I22" s="76">
        <v>1.3109999999999999</v>
      </c>
      <c r="J22" s="77">
        <f t="shared" ca="1" si="0"/>
        <v>0.72647453954496211</v>
      </c>
      <c r="K22" s="77">
        <f t="shared" ca="1" si="0"/>
        <v>0.85648212351029251</v>
      </c>
      <c r="L22"/>
      <c r="M22"/>
    </row>
    <row r="23" spans="1:20" ht="5.0999999999999996" customHeight="1" x14ac:dyDescent="0.2">
      <c r="A23" s="13"/>
      <c r="F23" s="78"/>
      <c r="G23" s="78"/>
      <c r="H23" s="78"/>
      <c r="I23" s="78"/>
      <c r="J23" s="78"/>
      <c r="K23" s="78"/>
    </row>
    <row r="24" spans="1:20" ht="15" x14ac:dyDescent="0.2">
      <c r="A24" s="13"/>
      <c r="B24" s="14" t="s">
        <v>64</v>
      </c>
      <c r="C24" s="14"/>
      <c r="D24" s="14"/>
      <c r="E24" s="14"/>
      <c r="F24" s="87">
        <f ca="1">AVERAGE(F18:F22)</f>
        <v>0.34624174639536454</v>
      </c>
      <c r="G24" s="87">
        <f ca="1">AVERAGE(G18:G22)</f>
        <v>0.65375825360463558</v>
      </c>
      <c r="H24" s="88"/>
      <c r="I24" s="88"/>
      <c r="J24" s="88">
        <f t="shared" ref="J24:K24" ca="1" si="3">AVERAGE(J18:J22)</f>
        <v>0.88921641276542507</v>
      </c>
      <c r="K24" s="88">
        <f t="shared" ca="1" si="3"/>
        <v>0.98191618952548976</v>
      </c>
    </row>
    <row r="25" spans="1:20" ht="15" x14ac:dyDescent="0.2">
      <c r="A25" s="13"/>
      <c r="B25" s="14" t="s">
        <v>65</v>
      </c>
      <c r="C25" s="14"/>
      <c r="D25" s="14"/>
      <c r="E25" s="14"/>
      <c r="F25" s="87">
        <f ca="1">MEDIAN(F18:F22)</f>
        <v>0.32</v>
      </c>
      <c r="G25" s="87">
        <f ca="1">MEDIAN(G18:G22)</f>
        <v>0.67999999999999994</v>
      </c>
      <c r="H25" s="88"/>
      <c r="I25" s="88"/>
      <c r="J25" s="88">
        <f t="shared" ref="J25:K25" ca="1" si="4">MEDIAN(J18:J22)</f>
        <v>0.92768786127167635</v>
      </c>
      <c r="K25" s="88">
        <f t="shared" ca="1" si="4"/>
        <v>1.0109826589595377</v>
      </c>
    </row>
    <row r="26" spans="1:20" ht="15" x14ac:dyDescent="0.2">
      <c r="A26" s="13"/>
      <c r="G26"/>
      <c r="H26"/>
      <c r="I26"/>
      <c r="J26"/>
    </row>
    <row r="27" spans="1:20" ht="15" x14ac:dyDescent="0.2">
      <c r="A27" s="13"/>
      <c r="M27" s="84" t="s">
        <v>67</v>
      </c>
      <c r="N27" s="62"/>
      <c r="O27" s="62"/>
      <c r="P27" s="62"/>
      <c r="Q27" s="62"/>
      <c r="R27" s="62"/>
    </row>
    <row r="28" spans="1:20" ht="5.0999999999999996" customHeight="1" x14ac:dyDescent="0.2">
      <c r="A28" s="13"/>
      <c r="M28" s="43"/>
    </row>
    <row r="29" spans="1:20" ht="15" x14ac:dyDescent="0.2">
      <c r="A29" s="13"/>
      <c r="M29" s="93" t="s">
        <v>56</v>
      </c>
      <c r="N29" s="98" t="s">
        <v>68</v>
      </c>
      <c r="O29" s="89"/>
      <c r="P29" s="89"/>
      <c r="Q29" s="89"/>
      <c r="R29" s="89"/>
      <c r="T29" s="16" t="s">
        <v>69</v>
      </c>
    </row>
    <row r="30" spans="1:20" ht="15" x14ac:dyDescent="0.2">
      <c r="A30" s="13"/>
      <c r="M30" s="100">
        <f ca="1">H12</f>
        <v>8.9615533980732173E-2</v>
      </c>
      <c r="N30" s="96">
        <f ca="1">O30-$T$30</f>
        <v>0.27999999999999997</v>
      </c>
      <c r="O30" s="97">
        <f ca="1">P30-$T$30</f>
        <v>0.3</v>
      </c>
      <c r="P30" s="114">
        <f ca="1">F25</f>
        <v>0.32</v>
      </c>
      <c r="Q30" s="97">
        <f ca="1">P30+$T$30</f>
        <v>0.34</v>
      </c>
      <c r="R30" s="97">
        <f ca="1">Q30+$T$30</f>
        <v>0.36000000000000004</v>
      </c>
      <c r="S30" s="90"/>
      <c r="T30" s="91">
        <v>0.02</v>
      </c>
    </row>
    <row r="31" spans="1:20" ht="15" x14ac:dyDescent="0.2">
      <c r="A31" s="13"/>
      <c r="M31" s="94">
        <f ca="1">M32-$T$31</f>
        <v>0.82768786127167626</v>
      </c>
      <c r="N31" s="105">
        <f t="dataTable" ref="N31:R35" dt2D="1" dtr="1" r1="H7" r2="H5" ca="1"/>
        <v>8.0968424285163765E-2</v>
      </c>
      <c r="O31" s="105">
        <v>8.259353913294798E-2</v>
      </c>
      <c r="P31" s="105">
        <v>8.421865398073218E-2</v>
      </c>
      <c r="Q31" s="105">
        <v>8.5843768828516381E-2</v>
      </c>
      <c r="R31" s="105">
        <v>8.7468883676300568E-2</v>
      </c>
      <c r="T31" s="92">
        <v>0.05</v>
      </c>
    </row>
    <row r="32" spans="1:20" ht="15" x14ac:dyDescent="0.2">
      <c r="A32" s="13"/>
      <c r="M32" s="95">
        <f ca="1">M33-$T$31</f>
        <v>0.87768786127167631</v>
      </c>
      <c r="N32" s="105">
        <v>8.3583284285163761E-2</v>
      </c>
      <c r="O32" s="104">
        <v>8.5250189132947976E-2</v>
      </c>
      <c r="P32" s="104">
        <v>8.6917093980732177E-2</v>
      </c>
      <c r="Q32" s="104">
        <v>8.8583998828516392E-2</v>
      </c>
      <c r="R32" s="105">
        <v>9.0250903676300578E-2</v>
      </c>
    </row>
    <row r="33" spans="1:18" ht="15" x14ac:dyDescent="0.2">
      <c r="A33" s="13"/>
      <c r="M33" s="113">
        <f ca="1">J25</f>
        <v>0.92768786127167635</v>
      </c>
      <c r="N33" s="105">
        <v>8.6198144285163786E-2</v>
      </c>
      <c r="O33" s="104">
        <v>8.7906839132947986E-2</v>
      </c>
      <c r="P33" s="104">
        <v>8.9615533980732173E-2</v>
      </c>
      <c r="Q33" s="104">
        <v>9.1324228828516388E-2</v>
      </c>
      <c r="R33" s="105">
        <v>9.3032923676300575E-2</v>
      </c>
    </row>
    <row r="34" spans="1:18" ht="15" x14ac:dyDescent="0.2">
      <c r="A34" s="13"/>
      <c r="M34" s="95">
        <f ca="1">M33+$T$31</f>
        <v>0.97768786127167639</v>
      </c>
      <c r="N34" s="105">
        <v>8.8813004285163782E-2</v>
      </c>
      <c r="O34" s="104">
        <v>9.0563489132947983E-2</v>
      </c>
      <c r="P34" s="104">
        <v>9.231397398073217E-2</v>
      </c>
      <c r="Q34" s="104">
        <v>9.4064458828516398E-2</v>
      </c>
      <c r="R34" s="105">
        <v>9.5814943676300585E-2</v>
      </c>
    </row>
    <row r="35" spans="1:18" ht="15" x14ac:dyDescent="0.2">
      <c r="A35" s="13"/>
      <c r="M35" s="95">
        <f ca="1">M34+$T$31</f>
        <v>1.0276878612716764</v>
      </c>
      <c r="N35" s="105">
        <v>9.1427864285163779E-2</v>
      </c>
      <c r="O35" s="105">
        <v>9.3220139132947979E-2</v>
      </c>
      <c r="P35" s="105">
        <v>9.501241398073218E-2</v>
      </c>
      <c r="Q35" s="105">
        <v>9.6804688828516394E-2</v>
      </c>
      <c r="R35" s="105">
        <v>9.8596963676300595E-2</v>
      </c>
    </row>
    <row r="36" spans="1:18" ht="15" x14ac:dyDescent="0.2">
      <c r="A36" s="13"/>
    </row>
    <row r="37" spans="1:18" ht="15" x14ac:dyDescent="0.2">
      <c r="A37" s="13"/>
    </row>
    <row r="38" spans="1:18" ht="15" x14ac:dyDescent="0.2">
      <c r="A38" s="13"/>
    </row>
    <row r="39" spans="1:18" ht="15" x14ac:dyDescent="0.2">
      <c r="A39" s="13"/>
    </row>
    <row r="40" spans="1:18" ht="15" x14ac:dyDescent="0.2">
      <c r="A40" s="13"/>
    </row>
    <row r="41" spans="1:18" ht="15" x14ac:dyDescent="0.2">
      <c r="A41" s="13"/>
    </row>
    <row r="42" spans="1:18" ht="15" x14ac:dyDescent="0.2">
      <c r="A42" s="13"/>
    </row>
    <row r="43" spans="1:18" ht="15" x14ac:dyDescent="0.2">
      <c r="A43" s="13"/>
    </row>
    <row r="44" spans="1:18" ht="15" x14ac:dyDescent="0.2">
      <c r="A44" s="13"/>
    </row>
    <row r="45" spans="1:18" ht="15" x14ac:dyDescent="0.2">
      <c r="A45" s="13"/>
    </row>
    <row r="46" spans="1:18" ht="15" x14ac:dyDescent="0.2">
      <c r="A46" s="13"/>
    </row>
    <row r="47" spans="1:18" ht="15" x14ac:dyDescent="0.2">
      <c r="A47" s="13"/>
    </row>
    <row r="48" spans="1:18" ht="15" x14ac:dyDescent="0.2">
      <c r="A48" s="13"/>
    </row>
    <row r="49" spans="1:1" ht="15" x14ac:dyDescent="0.2">
      <c r="A49" s="13"/>
    </row>
    <row r="50" spans="1:1" ht="15" x14ac:dyDescent="0.2">
      <c r="A50" s="13"/>
    </row>
    <row r="51" spans="1:1" ht="15" x14ac:dyDescent="0.2">
      <c r="A51" s="13"/>
    </row>
    <row r="52" spans="1:1" ht="15" x14ac:dyDescent="0.2">
      <c r="A52" s="13"/>
    </row>
    <row r="53" spans="1:1" ht="15" x14ac:dyDescent="0.2">
      <c r="A53" s="13"/>
    </row>
    <row r="54" spans="1:1" ht="15" x14ac:dyDescent="0.2">
      <c r="A54" s="13"/>
    </row>
    <row r="55" spans="1:1" ht="15" x14ac:dyDescent="0.2">
      <c r="A55" s="13"/>
    </row>
    <row r="56" spans="1:1" ht="15" x14ac:dyDescent="0.2">
      <c r="A56" s="13"/>
    </row>
    <row r="57" spans="1:1" ht="15" x14ac:dyDescent="0.2">
      <c r="A57" s="13"/>
    </row>
    <row r="58" spans="1:1" ht="15" x14ac:dyDescent="0.2">
      <c r="A58" s="13"/>
    </row>
    <row r="59" spans="1:1" ht="15" x14ac:dyDescent="0.2">
      <c r="A59" s="13"/>
    </row>
    <row r="60" spans="1:1" ht="15" x14ac:dyDescent="0.2">
      <c r="A60" s="13"/>
    </row>
    <row r="61" spans="1:1" ht="15" x14ac:dyDescent="0.2">
      <c r="A61" s="13"/>
    </row>
    <row r="62" spans="1:1" ht="15" x14ac:dyDescent="0.2">
      <c r="A62" s="13"/>
    </row>
    <row r="63" spans="1:1" ht="15" x14ac:dyDescent="0.2">
      <c r="A63" s="13"/>
    </row>
    <row r="64" spans="1:1" ht="15" x14ac:dyDescent="0.2">
      <c r="A64" s="13"/>
    </row>
    <row r="65" spans="1:1" ht="15" x14ac:dyDescent="0.2">
      <c r="A65" s="13"/>
    </row>
    <row r="66" spans="1:1" ht="15" x14ac:dyDescent="0.2">
      <c r="A66" s="13"/>
    </row>
    <row r="67" spans="1:1" ht="15" x14ac:dyDescent="0.2">
      <c r="A67" s="13"/>
    </row>
    <row r="68" spans="1:1" ht="15" x14ac:dyDescent="0.2">
      <c r="A68" s="13"/>
    </row>
    <row r="69" spans="1:1" ht="15" x14ac:dyDescent="0.2">
      <c r="A69" s="13"/>
    </row>
    <row r="70" spans="1:1" ht="15" x14ac:dyDescent="0.2">
      <c r="A70" s="13"/>
    </row>
    <row r="71" spans="1:1" ht="15" x14ac:dyDescent="0.2">
      <c r="A71" s="13"/>
    </row>
    <row r="72" spans="1:1" ht="15" x14ac:dyDescent="0.2">
      <c r="A72" s="13"/>
    </row>
    <row r="73" spans="1:1" ht="15" x14ac:dyDescent="0.2">
      <c r="A73" s="13"/>
    </row>
    <row r="74" spans="1:1" ht="15" x14ac:dyDescent="0.2">
      <c r="A74" s="13"/>
    </row>
    <row r="75" spans="1:1" ht="15" x14ac:dyDescent="0.2">
      <c r="A75" s="13"/>
    </row>
    <row r="76" spans="1:1" ht="15" x14ac:dyDescent="0.2">
      <c r="A76" s="13"/>
    </row>
    <row r="77" spans="1:1" ht="15" x14ac:dyDescent="0.2">
      <c r="A77" s="13"/>
    </row>
    <row r="78" spans="1:1" ht="15" x14ac:dyDescent="0.2">
      <c r="A78" s="13"/>
    </row>
    <row r="79" spans="1:1" ht="15" x14ac:dyDescent="0.2">
      <c r="A79" s="13"/>
    </row>
    <row r="80" spans="1:1" ht="15" x14ac:dyDescent="0.2">
      <c r="A80" s="13"/>
    </row>
    <row r="81" spans="1:1" ht="15" x14ac:dyDescent="0.2">
      <c r="A81" s="13"/>
    </row>
    <row r="82" spans="1:1" ht="15" x14ac:dyDescent="0.2">
      <c r="A82" s="13"/>
    </row>
    <row r="83" spans="1:1" ht="15" x14ac:dyDescent="0.2">
      <c r="A83" s="13"/>
    </row>
    <row r="84" spans="1:1" ht="15" x14ac:dyDescent="0.2">
      <c r="A84" s="13"/>
    </row>
    <row r="85" spans="1:1" ht="15" x14ac:dyDescent="0.2">
      <c r="A85" s="13"/>
    </row>
    <row r="86" spans="1:1" ht="15" x14ac:dyDescent="0.2">
      <c r="A86" s="13"/>
    </row>
    <row r="87" spans="1:1" ht="15" x14ac:dyDescent="0.2">
      <c r="A87" s="13"/>
    </row>
    <row r="88" spans="1:1" ht="15" x14ac:dyDescent="0.2">
      <c r="A88" s="13"/>
    </row>
    <row r="89" spans="1:1" ht="15" x14ac:dyDescent="0.2">
      <c r="A89" s="13"/>
    </row>
    <row r="90" spans="1:1" ht="15" x14ac:dyDescent="0.2">
      <c r="A90" s="13"/>
    </row>
    <row r="91" spans="1:1" ht="15" x14ac:dyDescent="0.2">
      <c r="A91" s="13"/>
    </row>
    <row r="92" spans="1:1" ht="15" x14ac:dyDescent="0.2">
      <c r="A92" s="13"/>
    </row>
    <row r="93" spans="1:1" ht="15" x14ac:dyDescent="0.2">
      <c r="A93" s="13"/>
    </row>
    <row r="94" spans="1:1" ht="15" x14ac:dyDescent="0.2">
      <c r="A94" s="13"/>
    </row>
    <row r="95" spans="1:1" ht="15" x14ac:dyDescent="0.2">
      <c r="A95" s="13"/>
    </row>
    <row r="96" spans="1:1" ht="15" x14ac:dyDescent="0.2">
      <c r="A96" s="13"/>
    </row>
    <row r="97" spans="1:1" ht="15" x14ac:dyDescent="0.2">
      <c r="A97" s="13"/>
    </row>
    <row r="98" spans="1:1" ht="15" x14ac:dyDescent="0.2">
      <c r="A98" s="13"/>
    </row>
    <row r="99" spans="1:1" ht="15" x14ac:dyDescent="0.2">
      <c r="A99" s="13"/>
    </row>
    <row r="100" spans="1:1" ht="15" x14ac:dyDescent="0.2">
      <c r="A100" s="13"/>
    </row>
    <row r="101" spans="1:1" ht="15" x14ac:dyDescent="0.2">
      <c r="A101" s="13"/>
    </row>
    <row r="102" spans="1:1" ht="15" x14ac:dyDescent="0.2">
      <c r="A102" s="13"/>
    </row>
    <row r="103" spans="1:1" ht="15" x14ac:dyDescent="0.2">
      <c r="A103" s="13"/>
    </row>
    <row r="104" spans="1:1" ht="15" x14ac:dyDescent="0.2">
      <c r="A104" s="13"/>
    </row>
    <row r="105" spans="1:1" ht="15" x14ac:dyDescent="0.2">
      <c r="A105" s="13"/>
    </row>
    <row r="106" spans="1:1" ht="15" x14ac:dyDescent="0.2">
      <c r="A106" s="13"/>
    </row>
    <row r="107" spans="1:1" ht="15" x14ac:dyDescent="0.2">
      <c r="A107" s="13"/>
    </row>
    <row r="108" spans="1:1" ht="15" x14ac:dyDescent="0.2">
      <c r="A108" s="13"/>
    </row>
    <row r="109" spans="1:1" ht="15" x14ac:dyDescent="0.2">
      <c r="A109" s="13"/>
    </row>
    <row r="110" spans="1:1" ht="15" x14ac:dyDescent="0.2">
      <c r="A110" s="13"/>
    </row>
    <row r="111" spans="1:1" ht="15" x14ac:dyDescent="0.2">
      <c r="A111" s="13"/>
    </row>
    <row r="112" spans="1:1" ht="15" x14ac:dyDescent="0.2">
      <c r="A112" s="13"/>
    </row>
    <row r="113" spans="1:1" ht="15" x14ac:dyDescent="0.2">
      <c r="A113" s="13"/>
    </row>
    <row r="114" spans="1:1" ht="15" x14ac:dyDescent="0.2">
      <c r="A114" s="13"/>
    </row>
    <row r="115" spans="1:1" ht="15" x14ac:dyDescent="0.2">
      <c r="A115" s="13"/>
    </row>
    <row r="116" spans="1:1" ht="15" x14ac:dyDescent="0.2">
      <c r="A116" s="13"/>
    </row>
    <row r="117" spans="1:1" ht="15" x14ac:dyDescent="0.2">
      <c r="A117" s="13"/>
    </row>
    <row r="118" spans="1:1" ht="15" x14ac:dyDescent="0.2">
      <c r="A118" s="13"/>
    </row>
    <row r="119" spans="1:1" ht="15" x14ac:dyDescent="0.2">
      <c r="A119" s="13"/>
    </row>
    <row r="120" spans="1:1" ht="15" x14ac:dyDescent="0.2">
      <c r="A120" s="13"/>
    </row>
    <row r="121" spans="1:1" ht="15" x14ac:dyDescent="0.2">
      <c r="A121" s="13"/>
    </row>
    <row r="122" spans="1:1" ht="15" x14ac:dyDescent="0.2">
      <c r="A122" s="13"/>
    </row>
    <row r="123" spans="1:1" ht="15" x14ac:dyDescent="0.2">
      <c r="A123" s="13"/>
    </row>
    <row r="124" spans="1:1" ht="15" x14ac:dyDescent="0.2">
      <c r="A124" s="13"/>
    </row>
    <row r="125" spans="1:1" ht="15" x14ac:dyDescent="0.2">
      <c r="A125" s="13"/>
    </row>
    <row r="126" spans="1:1" ht="15" x14ac:dyDescent="0.2">
      <c r="A126" s="13"/>
    </row>
    <row r="127" spans="1:1" ht="15" x14ac:dyDescent="0.2">
      <c r="A127" s="13"/>
    </row>
    <row r="128" spans="1:1" ht="15" x14ac:dyDescent="0.2">
      <c r="A128" s="13"/>
    </row>
    <row r="129" spans="1:1" ht="15" x14ac:dyDescent="0.2">
      <c r="A129" s="13"/>
    </row>
    <row r="130" spans="1:1" ht="15" x14ac:dyDescent="0.2">
      <c r="A130" s="13"/>
    </row>
    <row r="131" spans="1:1" ht="15" x14ac:dyDescent="0.2">
      <c r="A131" s="13"/>
    </row>
    <row r="132" spans="1:1" ht="15" x14ac:dyDescent="0.2">
      <c r="A132" s="13"/>
    </row>
    <row r="133" spans="1:1" ht="15" x14ac:dyDescent="0.2">
      <c r="A133" s="13"/>
    </row>
    <row r="134" spans="1:1" ht="15" x14ac:dyDescent="0.2">
      <c r="A134" s="13"/>
    </row>
    <row r="135" spans="1:1" ht="15" x14ac:dyDescent="0.2">
      <c r="A135" s="13"/>
    </row>
    <row r="136" spans="1:1" ht="15" x14ac:dyDescent="0.2">
      <c r="A136" s="13"/>
    </row>
    <row r="137" spans="1:1" ht="15" x14ac:dyDescent="0.2">
      <c r="A137" s="13"/>
    </row>
    <row r="138" spans="1:1" ht="15" x14ac:dyDescent="0.2">
      <c r="A138" s="13"/>
    </row>
    <row r="139" spans="1:1" ht="15" x14ac:dyDescent="0.2">
      <c r="A139" s="13"/>
    </row>
    <row r="140" spans="1:1" ht="15" x14ac:dyDescent="0.2">
      <c r="A140" s="13"/>
    </row>
    <row r="141" spans="1:1" ht="15" x14ac:dyDescent="0.2">
      <c r="A141" s="13"/>
    </row>
    <row r="142" spans="1:1" ht="15" x14ac:dyDescent="0.2">
      <c r="A142" s="13"/>
    </row>
    <row r="143" spans="1:1" ht="15" x14ac:dyDescent="0.2">
      <c r="A143" s="13"/>
    </row>
    <row r="144" spans="1:1" ht="15" x14ac:dyDescent="0.2">
      <c r="A144" s="13"/>
    </row>
    <row r="145" spans="1:1" ht="15" x14ac:dyDescent="0.2">
      <c r="A145" s="13"/>
    </row>
    <row r="146" spans="1:1" ht="15" x14ac:dyDescent="0.2">
      <c r="A146" s="13"/>
    </row>
    <row r="147" spans="1:1" ht="15" x14ac:dyDescent="0.2">
      <c r="A147" s="13"/>
    </row>
    <row r="148" spans="1:1" ht="15" x14ac:dyDescent="0.2">
      <c r="A148" s="13"/>
    </row>
    <row r="149" spans="1:1" ht="15" x14ac:dyDescent="0.2">
      <c r="A149" s="13"/>
    </row>
    <row r="150" spans="1:1" ht="15" x14ac:dyDescent="0.2">
      <c r="A150" s="13"/>
    </row>
    <row r="151" spans="1:1" ht="15" x14ac:dyDescent="0.2">
      <c r="A151" s="13"/>
    </row>
    <row r="152" spans="1:1" ht="15" x14ac:dyDescent="0.2">
      <c r="A152" s="13"/>
    </row>
    <row r="153" spans="1:1" ht="15" x14ac:dyDescent="0.2">
      <c r="A153" s="13"/>
    </row>
    <row r="154" spans="1:1" ht="15" x14ac:dyDescent="0.2">
      <c r="A154" s="13"/>
    </row>
    <row r="155" spans="1:1" ht="15" x14ac:dyDescent="0.2">
      <c r="A155" s="13"/>
    </row>
    <row r="156" spans="1:1" ht="15" x14ac:dyDescent="0.2">
      <c r="A156" s="13"/>
    </row>
    <row r="157" spans="1:1" ht="15" x14ac:dyDescent="0.2">
      <c r="A157" s="13"/>
    </row>
    <row r="158" spans="1:1" ht="15" x14ac:dyDescent="0.2">
      <c r="A158" s="13"/>
    </row>
    <row r="159" spans="1:1" ht="15" x14ac:dyDescent="0.2">
      <c r="A159" s="13"/>
    </row>
    <row r="160" spans="1:1" ht="15" x14ac:dyDescent="0.2">
      <c r="A160" s="13"/>
    </row>
    <row r="161" spans="1:1" ht="15" x14ac:dyDescent="0.2">
      <c r="A161" s="13"/>
    </row>
    <row r="162" spans="1:1" ht="15" x14ac:dyDescent="0.2">
      <c r="A162" s="13"/>
    </row>
  </sheetData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7</vt:i4>
      </vt:variant>
      <vt:variant>
        <vt:lpstr>Excel 4.0 Macros</vt:lpstr>
      </vt:variant>
      <vt:variant>
        <vt:i4>1</vt:i4>
      </vt:variant>
      <vt:variant>
        <vt:lpstr>Named Ranges</vt:lpstr>
      </vt:variant>
      <vt:variant>
        <vt:i4>23</vt:i4>
      </vt:variant>
    </vt:vector>
  </HeadingPairs>
  <TitlesOfParts>
    <vt:vector size="31" baseType="lpstr">
      <vt:lpstr>Control</vt:lpstr>
      <vt:lpstr>DCF</vt:lpstr>
      <vt:lpstr>DCF2</vt:lpstr>
      <vt:lpstr>LBO</vt:lpstr>
      <vt:lpstr>WACC2</vt:lpstr>
      <vt:lpstr>Acc-Dil</vt:lpstr>
      <vt:lpstr>WACC1</vt:lpstr>
      <vt:lpstr>XLM</vt:lpstr>
      <vt:lpstr>XLM!Amount</vt:lpstr>
      <vt:lpstr>AsOf</vt:lpstr>
      <vt:lpstr>XLM!Beta</vt:lpstr>
      <vt:lpstr>Circ</vt:lpstr>
      <vt:lpstr>XLM!Debt</vt:lpstr>
      <vt:lpstr>DSO</vt:lpstr>
      <vt:lpstr>XLM!EBITDA</vt:lpstr>
      <vt:lpstr>XLM!Equity</vt:lpstr>
      <vt:lpstr>XLM!FCF</vt:lpstr>
      <vt:lpstr>XLM!Flag</vt:lpstr>
      <vt:lpstr>XLM!g</vt:lpstr>
      <vt:lpstr>LIBOR</vt:lpstr>
      <vt:lpstr>XLM!Multiple</vt:lpstr>
      <vt:lpstr>XLM!Price</vt:lpstr>
      <vt:lpstr>Price</vt:lpstr>
      <vt:lpstr>XLM!Strike</vt:lpstr>
      <vt:lpstr>LBO!Tax</vt:lpstr>
      <vt:lpstr>WACC2!Tax</vt:lpstr>
      <vt:lpstr>XLM!Tax</vt:lpstr>
      <vt:lpstr>Tax</vt:lpstr>
      <vt:lpstr>'DCF2'!WACC</vt:lpstr>
      <vt:lpstr>XLM!WACC</vt:lpstr>
      <vt:lpstr>WACC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Terra, Andre</dc:creator>
  <cp:lastModifiedBy>Terra, Andy (1/31/21)</cp:lastModifiedBy>
  <cp:lastPrinted>2019-05-01T01:07:06Z</cp:lastPrinted>
  <dcterms:created xsi:type="dcterms:W3CDTF">2018-02-18T01:09:27Z</dcterms:created>
  <dcterms:modified xsi:type="dcterms:W3CDTF">2021-01-31T23:23:55Z</dcterms:modified>
</cp:coreProperties>
</file>